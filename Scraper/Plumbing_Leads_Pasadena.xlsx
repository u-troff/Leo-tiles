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ouston" sheetId="1" state="visible" r:id="rId1"/>
    <sheet name="Pasedena" sheetId="2" state="visible" r:id="rId2"/>
    <sheet name="san Francisco" sheetId="3" state="visible" r:id="rId3"/>
    <sheet name="Cleaned HVAC leads" sheetId="4" state="visible" r:id="rId4"/>
    <sheet name="Cleaned Plumbing Leads" sheetId="5" state="visible" r:id="rId5"/>
  </sheets>
  <definedNames>
    <definedName name="_xlnm._FilterDatabase" localSheetId="4" hidden="1">'Cleaned Plumbing Leads'!$A$1:$J$1</definedName>
  </definedNames>
  <calcPr calcId="124519" fullCalcOnLoad="1"/>
</workbook>
</file>

<file path=xl/styles.xml><?xml version="1.0" encoding="utf-8"?>
<styleSheet xmlns="http://schemas.openxmlformats.org/spreadsheetml/2006/main">
  <numFmts count="0"/>
  <fonts count="16">
    <font>
      <name val="Arial"/>
      <color rgb="FF000000"/>
      <sz val="10"/>
      <scheme val="minor"/>
    </font>
    <font>
      <name val="Arial"/>
      <color theme="1"/>
    </font>
    <font>
      <color rgb="FF0000FF"/>
      <u val="single"/>
    </font>
    <font>
      <name val="Calibri"/>
      <color rgb="FF000000"/>
      <sz val="11"/>
    </font>
    <font>
      <name val="Calibri"/>
      <color rgb="FF0000FF"/>
      <sz val="11"/>
      <u val="single"/>
    </font>
    <font>
      <name val="Calibri"/>
      <color rgb="FF0000FF"/>
      <sz val="11"/>
      <u val="single"/>
    </font>
    <font>
      <name val="Arial"/>
      <color rgb="FF0000FF"/>
      <sz val="11"/>
      <u val="single"/>
    </font>
    <font>
      <name val="Calibri"/>
      <color rgb="FF0000FF"/>
      <sz val="11"/>
      <u val="single"/>
    </font>
    <font>
      <name val="Arial"/>
      <color rgb="FF000000"/>
      <sz val="10"/>
    </font>
    <font>
      <name val="Arial"/>
      <b val="1"/>
      <color rgb="FFFFFFFF"/>
      <sz val="10"/>
    </font>
    <font>
      <name val="Arial"/>
      <color theme="1"/>
      <sz val="9"/>
    </font>
    <font>
      <name val="Arial"/>
      <color rgb="FF0000FF"/>
      <sz val="9"/>
      <u val="single"/>
    </font>
    <font>
      <name val="Arial"/>
      <color theme="1"/>
      <scheme val="minor"/>
    </font>
    <font>
      <name val="Arial"/>
      <color rgb="FF0000FF"/>
      <sz val="9"/>
      <u val="single"/>
    </font>
    <font>
      <name val="Arial"/>
      <color rgb="FF0000FF"/>
      <sz val="9"/>
      <u val="single"/>
    </font>
    <font>
      <name val="Arial"/>
      <color rgb="FF0000FF"/>
      <sz val="9"/>
      <u val="single"/>
    </font>
  </fonts>
  <fills count="9">
    <fill>
      <patternFill/>
    </fill>
    <fill>
      <patternFill patternType="lightGray"/>
    </fill>
    <fill>
      <patternFill patternType="solid">
        <fgColor rgb="FFFF0000"/>
        <bgColor rgb="FFFF0000"/>
      </patternFill>
    </fill>
    <fill>
      <patternFill patternType="solid">
        <fgColor rgb="FF4A86E8"/>
        <bgColor rgb="FF4A86E8"/>
      </patternFill>
    </fill>
    <fill>
      <patternFill patternType="solid">
        <fgColor rgb="FF1F4E79"/>
        <bgColor rgb="FF1F4E79"/>
      </patternFill>
    </fill>
    <fill>
      <patternFill patternType="solid">
        <fgColor rgb="FF00FFFF"/>
        <bgColor rgb="FF00FFFF"/>
      </patternFill>
    </fill>
    <fill>
      <patternFill patternType="solid">
        <fgColor rgb="FFFCE4D6"/>
        <bgColor rgb="FFFCE4D6"/>
      </patternFill>
    </fill>
    <fill>
      <patternFill patternType="solid">
        <fgColor rgb="FFE2EFDA"/>
        <bgColor rgb="FFE2EFDA"/>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49">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bottom"/>
    </xf>
    <xf numFmtId="0" fontId="4" fillId="0" borderId="0" applyAlignment="1" pivotButton="0" quotePrefix="0" xfId="0">
      <alignment vertical="bottom"/>
    </xf>
    <xf numFmtId="0" fontId="3" fillId="0" borderId="0" applyAlignment="1" pivotButton="0" quotePrefix="0" xfId="0">
      <alignment horizontal="right" vertical="bottom"/>
    </xf>
    <xf numFmtId="0" fontId="3" fillId="2" borderId="0" applyAlignment="1" pivotButton="0" quotePrefix="0" xfId="0">
      <alignment vertical="bottom"/>
    </xf>
    <xf numFmtId="0" fontId="5" fillId="2" borderId="0" applyAlignment="1" pivotButton="0" quotePrefix="0" xfId="0">
      <alignment vertical="bottom"/>
    </xf>
    <xf numFmtId="0" fontId="3" fillId="2" borderId="0" applyAlignment="1" pivotButton="0" quotePrefix="0" xfId="0">
      <alignment horizontal="right" vertical="bottom"/>
    </xf>
    <xf numFmtId="0" fontId="1" fillId="2" borderId="0" pivotButton="0" quotePrefix="0" xfId="0"/>
    <xf numFmtId="0" fontId="6" fillId="0" borderId="0" applyAlignment="1" pivotButton="0" quotePrefix="0" xfId="0">
      <alignment vertical="bottom"/>
    </xf>
    <xf numFmtId="0" fontId="3" fillId="3" borderId="0" applyAlignment="1" pivotButton="0" quotePrefix="0" xfId="0">
      <alignment vertical="bottom"/>
    </xf>
    <xf numFmtId="0" fontId="7" fillId="3" borderId="0" applyAlignment="1" pivotButton="0" quotePrefix="0" xfId="0">
      <alignment vertical="bottom"/>
    </xf>
    <xf numFmtId="0" fontId="3" fillId="3" borderId="0" applyAlignment="1" pivotButton="0" quotePrefix="0" xfId="0">
      <alignment horizontal="right" vertical="bottom"/>
    </xf>
    <xf numFmtId="0" fontId="1" fillId="3" borderId="0" pivotButton="0" quotePrefix="0" xfId="0"/>
    <xf numFmtId="0" fontId="8" fillId="0" borderId="0" pivotButton="0" quotePrefix="0" xfId="0"/>
    <xf numFmtId="0" fontId="9" fillId="4" borderId="1" applyAlignment="1" pivotButton="0" quotePrefix="0" xfId="0">
      <alignment horizontal="center" vertical="center" wrapText="1"/>
    </xf>
    <xf numFmtId="0" fontId="9" fillId="4" borderId="0" applyAlignment="1" pivotButton="0" quotePrefix="0" xfId="0">
      <alignment horizontal="center" vertical="center" wrapText="1"/>
    </xf>
    <xf numFmtId="0" fontId="10" fillId="5" borderId="1" applyAlignment="1" pivotButton="0" quotePrefix="0" xfId="0">
      <alignment vertical="top" wrapText="1"/>
    </xf>
    <xf numFmtId="0" fontId="10" fillId="5" borderId="1" applyAlignment="1" pivotButton="0" quotePrefix="0" xfId="0">
      <alignment vertical="top"/>
    </xf>
    <xf numFmtId="0" fontId="11" fillId="5" borderId="1" applyAlignment="1" pivotButton="0" quotePrefix="0" xfId="0">
      <alignment vertical="top" wrapText="1"/>
    </xf>
    <xf numFmtId="0" fontId="10" fillId="5" borderId="1" applyAlignment="1" pivotButton="0" quotePrefix="0" xfId="0">
      <alignment vertical="top" wrapText="1"/>
    </xf>
    <xf numFmtId="0" fontId="10" fillId="5" borderId="1" applyAlignment="1" pivotButton="0" quotePrefix="0" xfId="0">
      <alignment vertical="top"/>
    </xf>
    <xf numFmtId="0" fontId="10" fillId="5" borderId="0" applyAlignment="1" pivotButton="0" quotePrefix="0" xfId="0">
      <alignment vertical="top"/>
    </xf>
    <xf numFmtId="0" fontId="12" fillId="5" borderId="0" pivotButton="0" quotePrefix="0" xfId="0"/>
    <xf numFmtId="0" fontId="10" fillId="6" borderId="1" applyAlignment="1" pivotButton="0" quotePrefix="0" xfId="0">
      <alignment vertical="top" wrapText="1"/>
    </xf>
    <xf numFmtId="0" fontId="10" fillId="6" borderId="1" applyAlignment="1" pivotButton="0" quotePrefix="0" xfId="0">
      <alignment vertical="top"/>
    </xf>
    <xf numFmtId="0" fontId="10" fillId="6" borderId="0" applyAlignment="1" pivotButton="0" quotePrefix="0" xfId="0">
      <alignment vertical="top"/>
    </xf>
    <xf numFmtId="0" fontId="10" fillId="2" borderId="1" applyAlignment="1" pivotButton="0" quotePrefix="0" xfId="0">
      <alignment vertical="top" wrapText="1"/>
    </xf>
    <xf numFmtId="0" fontId="10" fillId="2" borderId="1" applyAlignment="1" pivotButton="0" quotePrefix="0" xfId="0">
      <alignment vertical="top"/>
    </xf>
    <xf numFmtId="0" fontId="10" fillId="2" borderId="0" applyAlignment="1" pivotButton="0" quotePrefix="0" xfId="0">
      <alignment vertical="top"/>
    </xf>
    <xf numFmtId="0" fontId="12" fillId="2" borderId="0" pivotButton="0" quotePrefix="0" xfId="0"/>
    <xf numFmtId="0" fontId="10" fillId="2" borderId="1" applyAlignment="1" pivotButton="0" quotePrefix="0" xfId="0">
      <alignment vertical="top"/>
    </xf>
    <xf numFmtId="0" fontId="13" fillId="2" borderId="1" applyAlignment="1" pivotButton="0" quotePrefix="0" xfId="0">
      <alignment vertical="top" wrapText="1"/>
    </xf>
    <xf numFmtId="0" fontId="10" fillId="2" borderId="1" applyAlignment="1" pivotButton="0" quotePrefix="0" xfId="0">
      <alignment vertical="top" wrapText="1"/>
    </xf>
    <xf numFmtId="0" fontId="10" fillId="2" borderId="0" applyAlignment="1" pivotButton="0" quotePrefix="0" xfId="0">
      <alignment vertical="top"/>
    </xf>
    <xf numFmtId="0" fontId="10" fillId="5" borderId="0" applyAlignment="1" pivotButton="0" quotePrefix="0" xfId="0">
      <alignment vertical="top"/>
    </xf>
    <xf numFmtId="0" fontId="10" fillId="7" borderId="1" applyAlignment="1" pivotButton="0" quotePrefix="0" xfId="0">
      <alignment vertical="top" wrapText="1"/>
    </xf>
    <xf numFmtId="0" fontId="10" fillId="7" borderId="1" applyAlignment="1" pivotButton="0" quotePrefix="0" xfId="0">
      <alignment vertical="top"/>
    </xf>
    <xf numFmtId="0" fontId="14" fillId="7" borderId="1" applyAlignment="1" pivotButton="0" quotePrefix="0" xfId="0">
      <alignment vertical="top" wrapText="1"/>
    </xf>
    <xf numFmtId="0" fontId="10" fillId="7" borderId="1" applyAlignment="1" pivotButton="0" quotePrefix="0" xfId="0">
      <alignment vertical="top" wrapText="1"/>
    </xf>
    <xf numFmtId="0" fontId="10" fillId="7" borderId="0" applyAlignment="1" pivotButton="0" quotePrefix="0" xfId="0">
      <alignment vertical="top"/>
    </xf>
    <xf numFmtId="0" fontId="10" fillId="8" borderId="1" applyAlignment="1" pivotButton="0" quotePrefix="0" xfId="0">
      <alignment vertical="top" wrapText="1"/>
    </xf>
    <xf numFmtId="0" fontId="10" fillId="8" borderId="1" applyAlignment="1" pivotButton="0" quotePrefix="0" xfId="0">
      <alignment vertical="top"/>
    </xf>
    <xf numFmtId="0" fontId="10" fillId="8" borderId="0" applyAlignment="1" pivotButton="0" quotePrefix="0" xfId="0">
      <alignment vertical="top"/>
    </xf>
    <xf numFmtId="0" fontId="10" fillId="7" borderId="1" applyAlignment="1" pivotButton="0" quotePrefix="0" xfId="0">
      <alignment vertical="top"/>
    </xf>
    <xf numFmtId="0" fontId="10" fillId="7" borderId="0" applyAlignment="1" pivotButton="0" quotePrefix="0" xfId="0">
      <alignment vertical="top"/>
    </xf>
    <xf numFmtId="0" fontId="15" fillId="8" borderId="1"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book.servicetitan.com/ndwswgk0plrubsfqw9bjtkuh?hl=en-ZA&amp;gei=tDaKaYj2HM-mhbIP54DAwAg&amp;rwg_token=AFd1xnHO75h43iwIQ8roBM_AwQc9nNtgC1ECKyjKXXDiemXySOiiIVPgyJZaPaTEVArJQofEUZZIeY3T3_1uQopsc-YBFcIJrQ%3D%3D&amp;source=cat" TargetMode="External" Id="rId1" /><Relationship Type="http://schemas.openxmlformats.org/officeDocument/2006/relationships/hyperlink" Target="https://www.airtechofhouston.com/locations/houston-tx/?utm_source=google-gbp&amp;utm_medium=organic&amp;utm_campaign=*19*air-tech-houston" TargetMode="External" Id="rId2" /><Relationship Type="http://schemas.openxmlformats.org/officeDocument/2006/relationships/hyperlink" Target="https://www.google.com/maps/dir//Air+Tech+of+Houston+AC+%26+Plumbing,+2114+Lou+Ellen+Ln,+Houston,+TX+77018,+United+States/data=!4m6!4m5!1m1!4e2!1m2!1m1!1s0x8640c6550750ea9d:0xe40fea0d73798ecb?sa=X&amp;ved=1t:57443&amp;ictx=111" TargetMode="External" Id="rId3" /><Relationship Type="http://schemas.openxmlformats.org/officeDocument/2006/relationships/hyperlink" Target="https://book.servicetitan.com/yx3m19hcyhwunxlqaet704jt?hl=en-ZA&amp;gei=tDaKaYj2HM-mhbIP54DAwAg&amp;rwg_token=AFd1xnHOQay0aWSDkWNPy-IC5OFnoK6tlKiXfzFumXw7UcWq5P_KNOWD3NNqrRwhoGcWaSdYZsx-6TX0Euz88d2T-PsDyvBN5w%3D%3D&amp;source=cat" TargetMode="External" Id="rId4" /><Relationship Type="http://schemas.openxmlformats.org/officeDocument/2006/relationships/hyperlink" Target="https://www.missionac.com/locations/houston-tx/?utm_source=google&amp;utm_medium=organic&amp;utm_campaign=gbp" TargetMode="External" Id="rId5" /><Relationship Type="http://schemas.openxmlformats.org/officeDocument/2006/relationships/hyperlink" Target="https://www.google.com/maps/dir//Mission+Air+Conditioning+%26+Plumbing,+1630+Elmview+Dr,+Houston,+TX+77080,+United+States/data=!4m6!4m5!1m1!4e2!1m2!1m1!1s0x8640c7b2796e3c3b:0xd27e76550a3912dc?sa=X&amp;ved=1t:57443&amp;ictx=111" TargetMode="External" Id="rId6" /><Relationship Type="http://schemas.openxmlformats.org/officeDocument/2006/relationships/hyperlink" Target="https://book.servicetitan.com/oucw9t8jk30lfx0eybjbyq94?hl=en-ZA&amp;gei=tDaKaYj2HM-mhbIP54DAwAg&amp;rwg_token=AFd1xnHxqTDlHvavEYASVZXdJQhJEgYNtz66ReKjVzuvSM-KDfDUDaNPDmD3HQE4gM0NT1VbyiGgzb62cV1ZptMJhR4wiwTk1A%3D%3D&amp;source=cat" TargetMode="External" Id="rId7" /><Relationship Type="http://schemas.openxmlformats.org/officeDocument/2006/relationships/hyperlink" Target="https://www.onehourheatandair.com/houston/?utm_source=gbp&amp;utm_medium=organic&amp;utm_campaign=638799_-OH0248-" TargetMode="External" Id="rId8" /><Relationship Type="http://schemas.openxmlformats.org/officeDocument/2006/relationships/hyperlink" Target="https://www.google.com/maps/dir//One+Hour+Air+Conditioning+%26+Heating%C2%AE+of+Houston,+4455+W+Sam+Houston+Pkwy+N,+Houston,+TX+77041,+United+States/data=!4m6!4m5!1m1!4e2!1m2!1m1!1s0x8640d0724bb1a283:0x93f6375762d135a2?sa=X&amp;ved=1t:57443&amp;ictx=111" TargetMode="External" Id="rId9" /><Relationship Type="http://schemas.openxmlformats.org/officeDocument/2006/relationships/hyperlink" Target="https://www.coolcareac.com/?utm_source=gbp&amp;utm_medium=organic" TargetMode="External" Id="rId10" /><Relationship Type="http://schemas.openxmlformats.org/officeDocument/2006/relationships/hyperlink" Target="https://www.google.com/maps/dir//Cool+Care+Heating+and+Air+Conditioning,+2015+Bauer+Dr,+Houston,+TX+77080,+United+States/data=!4m6!4m5!1m1!4e2!1m2!1m1!1s0x8640db2b99be8955:0xe07c491b25c79dba?sa=X&amp;ved=1t:57443&amp;ictx=111" TargetMode="External" Id="rId11" /><Relationship Type="http://schemas.openxmlformats.org/officeDocument/2006/relationships/hyperlink" Target="https://htownacrepair.com/" TargetMode="External" Id="rId12" /><Relationship Type="http://schemas.openxmlformats.org/officeDocument/2006/relationships/hyperlink" Target="https://www.google.com/maps/dir//H-Town+AC+Repair+HVAC+services+Houston,+4243+Purdue+St+A,+Houston,+TX+77005,+United+States/data=!4m6!4m5!1m1!4e2!1m2!1m1!1s0x8640bf9a7dfcc61d:0xb12f9248118802c4?sa=X&amp;ved=1t:57443&amp;ictx=111" TargetMode="External" Id="rId13" /><Relationship Type="http://schemas.openxmlformats.org/officeDocument/2006/relationships/hyperlink" Target="https://www.bellaireair.com/?utm_source=google&amp;utm_medium=organic&amp;utm_term=gbp" TargetMode="External" Id="rId14" /><Relationship Type="http://schemas.openxmlformats.org/officeDocument/2006/relationships/hyperlink" Target="https://www.google.com/maps/dir//Bellaire+Air+Conditioning,+5414+Ashbrook+Dr,+Houston,+TX+77081,+United+States/data=!4m6!4m5!1m1!4e2!1m2!1m1!1s0x8640c23d7055ea11:0x6156bd4e5c0e8a8e?sa=X&amp;ved=1t:57443&amp;ictx=111" TargetMode="External" Id="rId15" /><Relationship Type="http://schemas.openxmlformats.org/officeDocument/2006/relationships/hyperlink" Target="https://book.housecallpro.com/book/Uptown-Heating--Air-Conditioning/71ca9bbb24d1492f91638e1389575439?v2=true&amp;lead_source=google&amp;merchant_id=fa54d708-9c6f-4c50-9c7e-52f98f7797a4&amp;hl=en-ZA&amp;gei=tDaKaYj2HM-mhbIP54DAwAg&amp;rwg_token=AFd1xnGpCnBrNXGQiel04NX6UWg8qkuZkMLisk76YZ9t6e71tcd5QnlQSS0AT54Vk-x_dcSABDXy-nP7Oil1vZuqjdnyzkfCrQ%3D%3D&amp;source=cat" TargetMode="External" Id="rId16" /><Relationship Type="http://schemas.openxmlformats.org/officeDocument/2006/relationships/hyperlink" Target="https://www.uptownac.com/" TargetMode="External" Id="rId17" /><Relationship Type="http://schemas.openxmlformats.org/officeDocument/2006/relationships/hyperlink" Target="https://www.google.com/maps/dir//Uptown+Heating+%26+Air+Conditioning,+11211+Richmond+Ave.+Suite+B102,+Houston,+TX+77082,+United+States/data=!4m6!4m5!1m1!4e2!1m2!1m1!1s0x8640daaa48c80277:0x58e1c3d77bdd2965?sa=X&amp;ved=1t:57443&amp;ictx=111" TargetMode="External" Id="rId18" /><Relationship Type="http://schemas.openxmlformats.org/officeDocument/2006/relationships/hyperlink" Target="https://book.housecallpro.com/book/Ace-Comfort-Air-Conditioning--Heating-LLC/b332c3320d634dda91dc983f29e6e26b?v2=true&amp;lead_source=google&amp;merchant_id=5db04b9c-7240-4c8f-8f1e-c5bba10030c2&amp;hl=en-ZA&amp;gei=tDaKaYj2HM-mhbIP54DAwAg&amp;rwg_token=AFd1xnFQL65iXB_Vo6ke4H5kUXIphXNQC1JEcXVule6XFXuuwO5Y4tfn644p1cbyCcdCsfU741gFAGbOq-NdiuWtwB1LW8wolQ%3D%3D&amp;source=cat" TargetMode="External" Id="rId19" /><Relationship Type="http://schemas.openxmlformats.org/officeDocument/2006/relationships/hyperlink" Target="http://www.acecomfort-tx.com/" TargetMode="External" Id="rId20" /><Relationship Type="http://schemas.openxmlformats.org/officeDocument/2006/relationships/hyperlink" Target="https://www.google.com/maps/dir//Ace+Comfort+Air+Conditioning+%26+Heating,+601+Milwaukee+St,+Houston,+TX+77009,+United+States/data=!4m6!4m5!1m1!4e2!1m2!1m1!1s0x4f92696cded9f175:0xc9ae35805f8c328f?sa=X&amp;ved=1t:57443&amp;ictx=111" TargetMode="External" Id="rId21" /><Relationship Type="http://schemas.openxmlformats.org/officeDocument/2006/relationships/hyperlink" Target="http://www.davelaneair.com/" TargetMode="External" Id="rId22" /><Relationship Type="http://schemas.openxmlformats.org/officeDocument/2006/relationships/hyperlink" Target="https://www.google.com/maps/dir//Dave+Lane's+Hi-Tech+Mechanical+Inc.,+15825+TX-249+Ste+15,+Houston,+TX+77086,+United+States/data=!4m6!4m5!1m1!4e2!1m2!1m1!1s0x8640cf5e823eb8b1:0xad12932e49313438?sa=X&amp;ved=1t:57443&amp;ictx=111" TargetMode="External" Id="rId23" /><Relationship Type="http://schemas.openxmlformats.org/officeDocument/2006/relationships/hyperlink" Target="https://book.servicetitan.com/nl4yqvik8kc5q9uixfvam3zm?hl=en-ZA&amp;gei=tDaKaYj2HM-mhbIP54DAwAg&amp;rwg_token=AFd1xnFLT_KDok-LJP341qy1TdKlsIChIOLQampZKt45OQrtPEPWx0yT5IerPQdnCsAEdA-fgs5K0Cla5X0hsuAy1e1e8b41zw%3D%3D&amp;source=cat" TargetMode="External" Id="rId24" /><Relationship Type="http://schemas.openxmlformats.org/officeDocument/2006/relationships/hyperlink" Target="https://www.airtechofhumble.com/locations/humble-tx/?utm_source=google-gbp&amp;utm_medium=organic&amp;utm_campaign=*20*air-tech-humble" TargetMode="External" Id="rId25" /><Relationship Type="http://schemas.openxmlformats.org/officeDocument/2006/relationships/hyperlink" Target="https://www.google.com/maps/dir//Air+Tech+of+Humble+-+Elite+Comfort,+1710+1st+St+E,+Humble,+TX+77338,+United+States/data=!4m6!4m5!1m1!4e2!1m2!1m1!1s0x8640b2bf3899cc27:0xc272011de9a7f90a?sa=X&amp;ved=1t:57443&amp;ictx=111" TargetMode="External" Id="rId26" /><Relationship Type="http://schemas.openxmlformats.org/officeDocument/2006/relationships/hyperlink" Target="https://book.housecallpro.com/book/Be-Cool-AC--Heating/255cf6683249459c991100fb3caf83c4?v2=true&amp;lead_source=google&amp;merchant_id=1b182ced-e379-4797-8a1c-6eb15204a02f&amp;hl=en-ZA&amp;gei=tDaKaYj2HM-mhbIP54DAwAg&amp;rwg_token=AFd1xnEK-rmvUV6-iREpf_8AoMPq7Us1ISMAZiKEp4A3lNc2s_Bv7uaTbrrSyMkICxKWDRYQKcZqOafTgZfauN5acaW9T0UtxQ%3D%3D&amp;source=cat" TargetMode="External" Id="rId27" /><Relationship Type="http://schemas.openxmlformats.org/officeDocument/2006/relationships/hyperlink" Target="https://becoolachouston.com/?utm_source=google&amp;utm_medium=organic&amp;utm_campaign=gbp-listing" TargetMode="External" Id="rId28" /><Relationship Type="http://schemas.openxmlformats.org/officeDocument/2006/relationships/hyperlink" Target="https://www.google.com/maps/dir//Be+Cool+AC+%26+Heating,+7710+Cherry+Park+Dr+Ste+T418,+Houston,+TX+77095,+United+States/data=!4m6!4m5!1m1!4e2!1m2!1m1!1s0x8640d0e12bd08267:0x154f35d6d0aab7c7?sa=X&amp;ved=1t:57443&amp;ictx=111" TargetMode="External" Id="rId29" /><Relationship Type="http://schemas.openxmlformats.org/officeDocument/2006/relationships/hyperlink" Target="https://book.servicetitan.com/pyjdb2h9efer6pdw3zcvyxvg?hl=en-ZA&amp;gei=tDaKaYj2HM-mhbIP54DAwAg&amp;rwg_token=AFd1xnFaw3px9nYNjw10cwmypoe03TWM0UxSJxUCs7rZZJn5YGTkmwm_Z8fpjsE4WIv6I8bFqIy-Pvu6eaq5UCqtnIsgWlxJUQ%3D%3D&amp;source=cat" TargetMode="External" Id="rId30" /><Relationship Type="http://schemas.openxmlformats.org/officeDocument/2006/relationships/hyperlink" Target="https://www.airspecialist.com/?utm_campaign=Google+My+Business&amp;utm_source=GMB&amp;utm_medium=organic&amp;utm_content=Website" TargetMode="External" Id="rId31" /><Relationship Type="http://schemas.openxmlformats.org/officeDocument/2006/relationships/hyperlink" Target="https://www.google.com/maps/dir//Air+Specialist+Air+Conditioning+%26+Plumbing,+1323+N+Main+St,+Pearland,+TX+77581,+United+States/data=!4m6!4m5!1m1!4e2!1m2!1m1!1s0x8640913462c48271:0x13d6c07037b42152?sa=X&amp;ved=1t:57443&amp;ictx=111" TargetMode="External" Id="rId32" /><Relationship Type="http://schemas.openxmlformats.org/officeDocument/2006/relationships/hyperlink" Target="https://book.servicetitan.com/f0n1ouzidof1hhqltz8mt1wv?hl=en-ZA&amp;gei=tDaKaYj2HM-mhbIP54DAwAg&amp;rwg_token=AFd1xnE_jdOZSrQYl4fv-bEhkiz2kSKYR_0KTCzrNYCzKg4uLaN43CL8sTPPsxrX3SCuXgALinXYprZO8UpiDZAno6QLuCcgow%3D%3D&amp;source=cat" TargetMode="External" Id="rId33" /><Relationship Type="http://schemas.openxmlformats.org/officeDocument/2006/relationships/hyperlink" Target="https://www.abacusplumbing.net/?utm_campaign=gmb_ab-hou_home_everyone_gmb-houston&amp;utm_medium=gmb&amp;utm_source=google" TargetMode="External" Id="rId34" /><Relationship Type="http://schemas.openxmlformats.org/officeDocument/2006/relationships/hyperlink" Target="https://www.google.com/maps/dir//Abacus+Plumbing,+Air+Conditioning,+%26+Electrical,+4001+Kendrick+Plaza+Dr,+Houston,+TX+77032,+United+States/data=!4m6!4m5!1m1!4e2!1m2!1m1!1s0x8640c5d54b35a963:0xde884c48d45e5c38?sa=X&amp;ved=1t:57443&amp;ictx=111" TargetMode="External" Id="rId35" /><Relationship Type="http://schemas.openxmlformats.org/officeDocument/2006/relationships/hyperlink" Target="https://book.housecallpro.com/book/Just-N-Time-Air-Condition-and-Heating/44beadb58f6448c28dc03f9229545e06?v2=true&amp;lead_source=google&amp;merchant_id=43988923-28e7-4d3a-b936-a20e6019d19f&amp;hl=en-ZA&amp;gei=tDaKaYj2HM-mhbIP54DAwAg&amp;rwg_token=AFd1xnGJFjzCM-NAB2aH4EvCtgcubnmSGtH3HT9g8-vFmk0gc2XlrJSxCdNIMiigRTwqv6C8qRqOqASStF2rfpqx6lcprKyHCw%3D%3D&amp;source=cat" TargetMode="External" Id="rId36" /><Relationship Type="http://schemas.openxmlformats.org/officeDocument/2006/relationships/hyperlink" Target="https://www.justintimeaircondition.com/?utm_source=google&amp;utm_medium=business_profile&amp;utm_campaign=website" TargetMode="External" Id="rId37" /><Relationship Type="http://schemas.openxmlformats.org/officeDocument/2006/relationships/hyperlink" Target="https://www.google.com/maps/dir//Just-N-Time+AC+and+Heating,+2219+W+34th+St+%23+A1,+Houston,+TX+77018,+United+States/data=!4m6!4m5!1m1!4e2!1m2!1m1!1s0x8640c76264b44ec1:0x4642eb17dbc7e102?sa=X&amp;ved=1t:57443&amp;ictx=111" TargetMode="External" Id="rId38" /><Relationship Type="http://schemas.openxmlformats.org/officeDocument/2006/relationships/hyperlink" Target="https://api.leadconnectorhq.com/widget/group/bTgfJTUQkuHmlMMI8aFR?hl=en-ZA&amp;gei=tDaKaYj2HM-mhbIP54DAwAg&amp;rwg_token=AFd1xnECFuCRv0Z-biPxYtT-YWbmKai3u4E9N3DLmFsrzFD4EWOq85_V4TbL961F1ECBJJgkzgmlOhM9UXNvpjaCmEda85EGZw%3D%3D&amp;source=cat" TargetMode="External" Id="rId39" /><Relationship Type="http://schemas.openxmlformats.org/officeDocument/2006/relationships/hyperlink" Target="https://75degreeac.com/?utm_source=GBP&amp;utm_medium=GBP&amp;utm_campaign=GBP" TargetMode="External" Id="rId40" /><Relationship Type="http://schemas.openxmlformats.org/officeDocument/2006/relationships/hyperlink" Target="https://www.google.com/maps/dir//75+Degree+AC-+Houston,+4800+W+34th+St+C50F,+Houston,+TX+77092,+United+States/data=!4m6!4m5!1m1!4e2!1m2!1m1!1s0x8640c668d5afffff:0xd5c7e9b53695698c?sa=X&amp;ved=1t:57443&amp;ictx=111" TargetMode="External" Id="rId41" /><Relationship Type="http://schemas.openxmlformats.org/officeDocument/2006/relationships/hyperlink" Target="https://www.comfortstaracrepairhouston.com/" TargetMode="External" Id="rId42" /><Relationship Type="http://schemas.openxmlformats.org/officeDocument/2006/relationships/hyperlink" Target="https://www.google.com/maps/dir//Comfort+Star+Ac+Repair,+9319+Long+Point+Rd,+Houston,+TX+77055,+United+States/data=!4m6!4m5!1m1!4e2!1m2!1m1!1s0x8640c3d6885d70df:0xf1545701d2e739a3?sa=X&amp;ved=1t:57443&amp;ictx=111" TargetMode="External" Id="rId43" /><Relationship Type="http://schemas.openxmlformats.org/officeDocument/2006/relationships/hyperlink" Target="https://www.richmondsair.com/?utm_source=gmb&amp;utm_medium=website" TargetMode="External" Id="rId44" /><Relationship Type="http://schemas.openxmlformats.org/officeDocument/2006/relationships/hyperlink" Target="https://www.aireserv.com/schedule-service/?utm_source=gmb&amp;utm_medium=organic&amp;utm_campaign=google_reserve&amp;location=30026&amp;hl=en-ZA&amp;gei=tDaKaYj2HM-mhbIP54DAwAg&amp;rwg_token=AFd1xnESaj1QuzKh8Uwcn1wvLqaFE3_WuzhZl4pNAViUuc5pTUxUbAuDFXN3s4s1YFtc0u6U-mw8v2nW2fahrOnxrkiFhUXwPw%3D%3D&amp;source=cat" TargetMode="External" Id="rId45" /><Relationship Type="http://schemas.openxmlformats.org/officeDocument/2006/relationships/hyperlink" Target="https://aireserv.com/central-west-houston/?cid=LSTL_ASV-US000187&amp;utm_source=gmb&amp;utm_campaign=local&amp;utm_medium=organic" TargetMode="External" Id="rId46" /><Relationship Type="http://schemas.openxmlformats.org/officeDocument/2006/relationships/hyperlink" Target="https://www.google.com/maps/dir//Aire+Serv+of+Central+%26+West+Houston,+3100+Weslayan+St+Suite+232,+Houston,+TX+77027,+United+States/data=!4m6!4m5!1m1!4e2!1m2!1m1!1s0x8640dbed7581de8d:0xb774839480685550?sa=X&amp;ved=1t:57443&amp;ictx=111" TargetMode="External" Id="rId47" /><Relationship Type="http://schemas.openxmlformats.org/officeDocument/2006/relationships/hyperlink" Target="https://book.servicetitan.com/u8qrs4uze1ftd7mh57azld50?hl=en-ZA&amp;gei=tDaKaYj2HM-mhbIP54DAwAg&amp;rwg_token=AFd1xnEh0xeGt4wUr4RYCGLzcYEbH2rD_G6n4RSnWMFE5cnM_8h413gxdBJrN6ahqb0YUIQ3YD_CbuqXdCrqDfcDjcqj_7_Jew%3D%3D&amp;source=cat" TargetMode="External" Id="rId48" /><Relationship Type="http://schemas.openxmlformats.org/officeDocument/2006/relationships/hyperlink" Target="https://www.serviceexperts.com/houston-tx?&amp;utm_campaign=listing&amp;utm_medium=organic_search&amp;utm_source=gmb&amp;utm_content=brand" TargetMode="External" Id="rId49" /><Relationship Type="http://schemas.openxmlformats.org/officeDocument/2006/relationships/hyperlink" Target="https://www.google.com/maps/dir//Service+Experts+Houston,+4250+N+Sam+Houston+Pkwy+E+Suite+130,+Houston,+TX+77032,+United+States/data=!4m6!4m5!1m1!4e2!1m2!1m1!1s0x8640db314c21c923:0x1e931a697f8c9024?sa=X&amp;ved=1t:57443&amp;ictx=111" TargetMode="External" Id="rId50" /><Relationship Type="http://schemas.openxmlformats.org/officeDocument/2006/relationships/hyperlink" Target="https://book.servicetitan.com/q1iqunoxfajqbimdstyd5c96?hl=en-ZA&amp;gei=tDaKaYj2HM-mhbIP54DAwAg&amp;rwg_token=AFd1xnGu4tklNyBYxbRUTeypK51u9SIAD-ot1nUj_mnRr8sFxesc1dD7ProGdqznjcs4Pmrj_nnocemKN69BYF6ymEQMSgn2PQ%3D%3D&amp;source=cat" TargetMode="External" Id="rId51" /><Relationship Type="http://schemas.openxmlformats.org/officeDocument/2006/relationships/hyperlink" Target="https://www.nicksplumbing.com/?utm_source=organic&amp;utm_medium=gbp&amp;utm_campaign=local" TargetMode="External" Id="rId52" /><Relationship Type="http://schemas.openxmlformats.org/officeDocument/2006/relationships/hyperlink" Target="https://www.google.com/maps/dir//Nick's+Plumbing+%26+Air+Conditioning,+3780+Yale+St,+Houston,+TX+77018,+United+States/data=!4m6!4m5!1m1!4e2!1m2!1m1!1s0x8640c76a4c3f8f73:0x7ae991add0786989?sa=X&amp;ved=1t:57443&amp;ictx=111" TargetMode="External" Id="rId53" /><Relationship Type="http://schemas.openxmlformats.org/officeDocument/2006/relationships/hyperlink" Target="https://javcoac.com/" TargetMode="External" Id="rId54" /><Relationship Type="http://schemas.openxmlformats.org/officeDocument/2006/relationships/hyperlink" Target="https://turbohomeservices.com/" TargetMode="External" Id="rId55" /><Relationship Type="http://schemas.openxmlformats.org/officeDocument/2006/relationships/hyperlink" Target="https://www.google.com/maps/dir//Turbo+AC+Repair+Houston,+7926+Breen+Dr+Suite+B,+Houston,+TX+77064,+United+States/data=!4m6!4m5!1m1!4e2!1m2!1m1!1s0x8640cf9b816cac7d:0x263eeb05aed6e2c?sa=X&amp;ved=1t:57443&amp;ictx=111" TargetMode="External" Id="rId56" /><Relationship Type="http://schemas.openxmlformats.org/officeDocument/2006/relationships/hyperlink" Target="https://www.asapairhoustonac.com/" TargetMode="External" Id="rId57" /><Relationship Type="http://schemas.openxmlformats.org/officeDocument/2006/relationships/hyperlink" Target="https://www.google.com/maps/dir//ASAP+AIR+A%2FC+and+Heating,+1009+Aurora+St,+Houston,+TX+77009,+United+States/data=!4m6!4m5!1m1!4e2!1m2!1m1!1s0x8640b885ae97f79d:0x3cfc84165457a0b2?sa=X&amp;ved=1t:57443&amp;ictx=111" TargetMode="External" Id="rId58" /><Relationship Type="http://schemas.openxmlformats.org/officeDocument/2006/relationships/hyperlink" Target="https://www.bsiairhouston.com/" TargetMode="External" Id="rId59" /><Relationship Type="http://schemas.openxmlformats.org/officeDocument/2006/relationships/hyperlink" Target="https://www.google.com/maps/dir//Bodensteiner+Service+Inc,+3403+Houston+Ave,+Houston,+TX+77009,+United+States/data=!4m6!4m5!1m1!4e2!1m2!1m1!1s0x8640b9ab77e4523f:0x4722ae29320ce230?sa=X&amp;ved=1t:57443&amp;ictx=111" TargetMode="External" Id="rId60" /><Relationship Type="http://schemas.openxmlformats.org/officeDocument/2006/relationships/hyperlink" Target="http://masteracandheat.com/" TargetMode="External" Id="rId61" /><Relationship Type="http://schemas.openxmlformats.org/officeDocument/2006/relationships/hyperlink" Target="https://www.google.com/maps/dir//Master+AC+and+Heat,+LLC-+The+Heights,+2607+North+Fwy,+Houston,+TX+77009,+United+States/data=!4m6!4m5!1m1!4e2!1m2!1m1!1s0x8640b8eaa555ba1d:0xca8a9ec797fa69c8?sa=X&amp;ved=1t:57443&amp;ictx=111" TargetMode="External" Id="rId62" /><Relationship Type="http://schemas.openxmlformats.org/officeDocument/2006/relationships/hyperlink" Target="https://vibrantmechanical.com/" TargetMode="External" Id="rId63" /><Relationship Type="http://schemas.openxmlformats.org/officeDocument/2006/relationships/hyperlink" Target="https://www.google.com/maps/dir//Vibrant+Mechanical,+3101+San+Jacinto+St,+Houston,+TX+77004,+United+States/data=!4m6!4m5!1m1!4e2!1m2!1m1!1s0x8640ad64b312501b:0xc9683f7ecd004db?sa=X&amp;ved=1t:57443&amp;ictx=111" TargetMode="External" Id="rId64" /><Relationship Type="http://schemas.openxmlformats.org/officeDocument/2006/relationships/hyperlink" Target="http://www.johnmooreservices.com/" TargetMode="External" Id="rId65" /><Relationship Type="http://schemas.openxmlformats.org/officeDocument/2006/relationships/hyperlink" Target="https://www.google.com/maps/dir//John+Moore+Services,+10005+W+Sam+Houston+Pkwy+N,+Houston,+TX+77064,+United+States/data=!4m6!4m5!1m1!4e2!1m2!1m1!1s0x8640ce28b83c0495:0x95919008d9dd5af3?sa=X&amp;ved=1t:57443&amp;ictx=111" TargetMode="External" Id="rId66" /><Relationship Type="http://schemas.openxmlformats.org/officeDocument/2006/relationships/hyperlink" Target="http://www.heightsacandheating.com/" TargetMode="External" Id="rId67" /><Relationship Type="http://schemas.openxmlformats.org/officeDocument/2006/relationships/hyperlink" Target="http://www.ethanclark.com/" TargetMode="External" Id="rId68" /><Relationship Type="http://schemas.openxmlformats.org/officeDocument/2006/relationships/hyperlink" Target="https://www.google.com/maps/dir//Ethan+Clark+Air+Conditioning,+1320+Rothwell+St,+Houston,+TX+77002,+United+States/data=!4m6!4m5!1m1!4e2!1m2!1m1!1s0x8640bf2a3bf00cef:0xd8c1edd1a2eb234?sa=X&amp;ved=1t:57443&amp;ictx=111" TargetMode="External" Id="rId69" /><Relationship Type="http://schemas.openxmlformats.org/officeDocument/2006/relationships/hyperlink" Target="http://www.bayoucityac.com/" TargetMode="External" Id="rId70" /><Relationship Type="http://schemas.openxmlformats.org/officeDocument/2006/relationships/hyperlink" Target="https://www.google.com/maps/dir//Bayou+City+Aire,+LLC,+1205+North+Loop,+Houston,+TX+77022,+United+States/data=!4m6!4m5!1m1!4e2!1m2!1m1!1s0x8640b8eba3caf80b:0x66c0161a66f9841?sa=X&amp;ved=1t:57443&amp;ictx=111" TargetMode="External" Id="rId71" /><Relationship Type="http://schemas.openxmlformats.org/officeDocument/2006/relationships/hyperlink" Target="http://www.airteamltd.com/" TargetMode="External" Id="rId72" /><Relationship Type="http://schemas.openxmlformats.org/officeDocument/2006/relationships/hyperlink" Target="https://www.google.com/maps/dir//AIRTEAM+Heating+%26+Cooling,+6119+Westview+Dr,+Houston,+TX+77055,+United+States/data=!4m6!4m5!1m1!4e2!1m2!1m1!1s0x8640c695e995e4d7:0xef2cf077feefd354?sa=X&amp;ved=1t:57443&amp;ictx=111" TargetMode="External" Id="rId73" /><Relationship Type="http://schemas.openxmlformats.org/officeDocument/2006/relationships/hyperlink" Target="https://centralcityair.com/" TargetMode="External" Id="rId74" /><Relationship Type="http://schemas.openxmlformats.org/officeDocument/2006/relationships/hyperlink" Target="https://www.google.com/maps/dir//Central+City+Air,+520+Thornton+Rd,+Houston,+TX+77018,+United+States/data=!4m6!4m5!1m1!4e2!1m2!1m1!1s0x8640c7911304ba4d:0xab26c7b6f133790b?sa=X&amp;ved=1t:57443&amp;ictx=111" TargetMode="External" Id="rId75" /><Relationship Type="http://schemas.openxmlformats.org/officeDocument/2006/relationships/hyperlink" Target="https://www.legacyacandheating.com/" TargetMode="External" Id="rId76" /><Relationship Type="http://schemas.openxmlformats.org/officeDocument/2006/relationships/hyperlink" Target="https://www.mykellysac.com/?utm_source=cumulus&amp;utm_medium=onlinepresence&amp;utm_campaign=gbp" TargetMode="External" Id="rId77" /><Relationship Type="http://schemas.openxmlformats.org/officeDocument/2006/relationships/hyperlink" Target="https://www.google.com/maps/dir//My+Kelly's+AC,+5505+Kittridge+St,+Houston,+TX+77028,+United+States/data=!4m6!4m5!1m1!4e2!1m2!1m1!1s0x8640c336f6b9d1eb:0xa78652ca440cf360?sa=X&amp;ved=1t:57443&amp;ictx=111" TargetMode="External" Id="rId78" /><Relationship Type="http://schemas.openxmlformats.org/officeDocument/2006/relationships/hyperlink" Target="http://www.revairtx.com/" TargetMode="External" Id="rId79" /><Relationship Type="http://schemas.openxmlformats.org/officeDocument/2006/relationships/hyperlink" Target="https://www.google.com/maps/dir//Revolution+Air,+1300+W+19th+St+%237827,+Houston,+TX+77008,+United+States/data=!4m6!4m5!1m1!4e2!1m2!1m1!1s0x8640c710f8f97a2b:0x4b54a69645e2ec28?sa=X&amp;ved=1t:57443&amp;ictx=111" TargetMode="External" Id="rId80" /><Relationship Type="http://schemas.openxmlformats.org/officeDocument/2006/relationships/hyperlink" Target="https://greaterhoustonhvac.com/" TargetMode="External" Id="rId81" /><Relationship Type="http://schemas.openxmlformats.org/officeDocument/2006/relationships/hyperlink" Target="https://calllukes.com/?utm_source=google&amp;utm_medium=gbp" TargetMode="External" Id="rId82" /><Relationship Type="http://schemas.openxmlformats.org/officeDocument/2006/relationships/hyperlink" Target="https://www.google.com/maps/dir//Luke's+Plumbing+%26+Air+Conditioning,+3548+E+T+C+Jester+Blvd,+Houston,+TX+77018,+United+States/data=!4m6!4m5!1m1!4e2!1m2!1m1!1s0x8640c5e03374b243:0x1c18f669c9148b2?sa=X&amp;ved=1t:57443&amp;ictx=111" TargetMode="External" Id="rId83" /><Relationship Type="http://schemas.openxmlformats.org/officeDocument/2006/relationships/hyperlink" Target="https://www.airinnovationsllc.com/" TargetMode="External" Id="rId84" /><Relationship Type="http://schemas.openxmlformats.org/officeDocument/2006/relationships/hyperlink" Target="https://www.google.com/maps/dir//Air+Innovations+LLC,+12507+Telge+Rd,+Cypress,+TX+77429,+United+States/data=!4m6!4m5!1m1!4e2!1m2!1m1!1s0x8640d5614405a12d:0x6fff0855a4e4ce7d?sa=X&amp;ved=1t:57443&amp;ictx=111" TargetMode="External" Id="rId85" /><Relationship Type="http://schemas.openxmlformats.org/officeDocument/2006/relationships/hyperlink" Target="http://www.callhoustonhvac.com/" TargetMode="External" Id="rId86" /><Relationship Type="http://schemas.openxmlformats.org/officeDocument/2006/relationships/hyperlink" Target="https://www.google.com/maps/dir//Houston+HVAC,+7629+Elm+St,+Houston,+TX+77023,+United+States/data=!4m6!4m5!1m1!4e2!1m2!1m1!1s0x2594b6871e12ac3d:0xef70c84108303f7e?sa=X&amp;ved=1t:57443&amp;ictx=111" TargetMode="External" Id="rId87" /><Relationship Type="http://schemas.openxmlformats.org/officeDocument/2006/relationships/hyperlink" Target="https://usmapid.org/details/hvac-repair-champions-ChIJKZN" TargetMode="External" Id="rId88" /><Relationship Type="http://schemas.openxmlformats.org/officeDocument/2006/relationships/hyperlink" Target="https://www.google.com/maps/dir//HVAC+Repair+Champions,+2401+San+Jacinto+St,+Houston,+TX+77002,+United+States/data=!4m6!4m5!1m1!4e2!1m2!1m1!1s0x8640bf4dda569329:0x6553cdf0f0fba796?sa=X&amp;ved=1t:57443&amp;ictx=111" TargetMode="External" Id="rId89" /><Relationship Type="http://schemas.openxmlformats.org/officeDocument/2006/relationships/hyperlink" Target="https://houkac.com/service-areas/houston/?utm_source=gbp&amp;utm_medium=organic" TargetMode="External" Id="rId90" /><Relationship Type="http://schemas.openxmlformats.org/officeDocument/2006/relationships/hyperlink" Target="https://www.google.com/maps/dir//Houk+Air+Conditioning+Houston,+18720+Intercontinental+Crossing+Dr,+Houston,+TX+77032,+United+States/data=!4m6!4m5!1m1!4e2!1m2!1m1!1s0x8640be0e41536659:0xbc81c52283af6d94?sa=X&amp;ved=1t:57443&amp;ictx=111" TargetMode="External" Id="rId91" /><Relationship Type="http://schemas.openxmlformats.org/officeDocument/2006/relationships/hyperlink" Target="https://68degreeshvac.com/" TargetMode="External" Id="rId92" /><Relationship Type="http://schemas.openxmlformats.org/officeDocument/2006/relationships/hyperlink" Target="http://baker-jones.com/" TargetMode="External" Id="rId93" /><Relationship Type="http://schemas.openxmlformats.org/officeDocument/2006/relationships/hyperlink" Target="https://www.google.com/maps/dir//Baker-Jones+Co.+Inc,+6314+St+Augustine+St,+Houston,+TX+77021,+United+States/data=!4m6!4m5!1m1!4e2!1m2!1m1!1s0x8640bf7112955d49:0x830db26f493f4f25?sa=X&amp;ved=1t:57443&amp;ictx=111" TargetMode="External" Id="rId94" /><Relationship Type="http://schemas.openxmlformats.org/officeDocument/2006/relationships/hyperlink" Target="https://www.comfortonrs.com/" TargetMode="External" Id="rId95" /><Relationship Type="http://schemas.openxmlformats.org/officeDocument/2006/relationships/hyperlink" Target="https://www.google.com/maps/dir//Houston+Heating+And+Air+Conditioning,+4518+Washington+Ave,+Houston,+TX+77007,+United+States/data=!4m6!4m5!1m1!4e2!1m2!1m1!1s0x8640c3187d7a7339:0x58a34f6743ec296e?sa=X&amp;ved=1t:57443&amp;ictx=111" TargetMode="External" Id="rId96" /><Relationship Type="http://schemas.openxmlformats.org/officeDocument/2006/relationships/hyperlink" Target="https://www.aireserv.com/houston-midtown/?cid=LSTL_ASV-US000187&amp;utm_source=gmb&amp;utm_campaign=local&amp;utm_medium=organic" TargetMode="External" Id="rId97" /><Relationship Type="http://schemas.openxmlformats.org/officeDocument/2006/relationships/hyperlink" Target="https://www.google.com/maps/dir//Aire+Serv+of+Houston+Midtown,+401+Franklin+St+Suite+2400-107,+Houston,+TX+77201,+United+States/data=!4m6!4m5!1m1!4e2!1m2!1m1!1s0x8640bf73375d6ce5:0x5e6bbd7902a4131d?sa=X&amp;ved=1t:57443&amp;ictx=111" TargetMode="External" Id="rId98" /><Relationship Type="http://schemas.openxmlformats.org/officeDocument/2006/relationships/hyperlink" Target="https://www.gotflowservices.com/" TargetMode="External" Id="rId99" /><Relationship Type="http://schemas.openxmlformats.org/officeDocument/2006/relationships/hyperlink" Target="https://aadheatingairconditioning.xyz/" TargetMode="External" Id="rId100" /><Relationship Type="http://schemas.openxmlformats.org/officeDocument/2006/relationships/hyperlink" Target="https://www.google.com/maps/dir//AAD+Heating+%26+Air+Conditioning,+440+Louisiana+St,+Houston,+TX+77002,+United+States/data=!4m6!4m5!1m1!4e2!1m2!1m1!1s0x8640bf5ebd18f095:0x7dd788c13596f391?sa=X&amp;ved=1t:57443&amp;ictx=111" TargetMode="External" Id="rId101" /><Relationship Type="http://schemas.openxmlformats.org/officeDocument/2006/relationships/hyperlink" Target="https://airconditioningandheatingofhoustonco.com/?utm_source=google&amp;utm_medium=organic" TargetMode="External" Id="rId102" /><Relationship Type="http://schemas.openxmlformats.org/officeDocument/2006/relationships/hyperlink" Target="https://www.google.com/maps/dir//Houston+Air+Conditioning+AC+%26+Heating+Repair+Co.,+7033+Avenue+N,+Houston,+TX+77011,+United+States/data=!4m6!4m5!1m1!4e2!1m2!1m1!1s0x89c243699813e003:0x24f42bb84eda112e?sa=X&amp;ved=1t:57443&amp;ictx=111" TargetMode="External" Id="rId103" /><Relationship Type="http://schemas.openxmlformats.org/officeDocument/2006/relationships/hyperlink" Target="https://www.morganproservices.com/" TargetMode="External" Id="rId104" /><Relationship Type="http://schemas.openxmlformats.org/officeDocument/2006/relationships/hyperlink" Target="https://www.google.com/maps/dir//Morgan+Pro+Services,+5200+Mitchelldale+St+Ste.+F26,+Houston,+TX+77092,+United+States/data=!4m6!4m5!1m1!4e2!1m2!1m1!1s0x864127af43ca5b63:0xfd2c6f5f20eca467?sa=X&amp;ved=1t:57443&amp;ictx=111" TargetMode="External" Id="rId105" /><Relationship Type="http://schemas.openxmlformats.org/officeDocument/2006/relationships/hyperlink" Target="https://www.google.com/maps/dir//Houston+Heating+and+Air+Conditioning,+920+Memorial+Heights+Dr,+Houston,+TX+77007,+United+States/data=!4m6!4m5!1m1!4e2!1m2!1m1!1s0x863f78cb57ff9123:0xc1239ac912d2a2f9?sa=X&amp;ved=1t:57443&amp;ictx=111" TargetMode="External" Id="rId106" /><Relationship Type="http://schemas.openxmlformats.org/officeDocument/2006/relationships/hyperlink" Target="https://www.google.com/maps/dir//Houston+Heating+%26+Cooling+Air+Conditioning,+1919+Collingsworth+St,+Houston,+TX+77009,+United+States/data=!4m6!4m5!1m1!4e2!1m2!1m1!1s0x863eb1484515a5df:0x9dc08cafd8abba50?sa=X&amp;ved=1t:57443&amp;ictx=111" TargetMode="External" Id="rId107" /><Relationship Type="http://schemas.openxmlformats.org/officeDocument/2006/relationships/hyperlink" Target="https://www.google.com/maps/dir//HVAC+Repair+%26+Air+Duct+Cleaning+Pros,+2810+Corder+St,+Houston,+TX+77054,+United+States/data=!4m6!4m5!1m1!4e2!1m2!1m1!1s0x8640bfbe30855d81:0xddd50068a2ecfac3?sa=X&amp;ved=1t:57443&amp;ictx=111" TargetMode="External" Id="rId108" /><Relationship Type="http://schemas.openxmlformats.org/officeDocument/2006/relationships/hyperlink" Target="http://acrepairhoustontx.com/" TargetMode="External" Id="rId109" /><Relationship Type="http://schemas.openxmlformats.org/officeDocument/2006/relationships/hyperlink" Target="https://www.google.com/maps/dir//Top+Notch+AC+Repair+Houston,+945+Capitol+St,+Houston,+TX+77002,+United+States/data=!4m6!4m5!1m1!4e2!1m2!1m1!1s0x23c6faf6c8785e1b:0x6a4b2e1bc43e19df?sa=X&amp;ved=1t:57443&amp;ictx=111" TargetMode="External" Id="rId110" /><Relationship Type="http://schemas.openxmlformats.org/officeDocument/2006/relationships/hyperlink" Target="http://www.newmarkac.com/" TargetMode="External" Id="rId111" /><Relationship Type="http://schemas.openxmlformats.org/officeDocument/2006/relationships/hyperlink" Target="https://www.google.com/maps/dir//Newmark+Air+Conditioning,+2925+Richmond+Ave.,+Houston,+TX+77098,+United+States/data=!4m6!4m5!1m1!4e2!1m2!1m1!1s0x8640c16345e7ae1b:0xff295bfc9797f1dc?sa=X&amp;ved=1t:57443&amp;ictx=111" TargetMode="External" Id="rId112" /><Relationship Type="http://schemas.openxmlformats.org/officeDocument/2006/relationships/hyperlink" Target="https://24hourrefrigeration.com/contact-us-houston/" TargetMode="External" Id="rId113" /><Relationship Type="http://schemas.openxmlformats.org/officeDocument/2006/relationships/hyperlink" Target="https://highperformancehomesystems.com/" TargetMode="External" Id="rId114" /><Relationship Type="http://schemas.openxmlformats.org/officeDocument/2006/relationships/hyperlink" Target="https://www.google.com/maps/dir//High+Performance+Home+Systems,+963+Wakefield+Dr,+Houston,+TX+77018,+United+States/data=!4m6!4m5!1m1!4e2!1m2!1m1!1s0x8640c751fdf61699:0x69d74c9de0514c?sa=X&amp;ved=1t:57443&amp;ictx=111" TargetMode="External" Id="rId115" /><Relationship Type="http://schemas.openxmlformats.org/officeDocument/2006/relationships/hyperlink" Target="https://absoluteacandheatingtx.com/" TargetMode="External" Id="rId116" /><Relationship Type="http://schemas.openxmlformats.org/officeDocument/2006/relationships/hyperlink" Target="https://callblueleafhvac.com/" TargetMode="External" Id="rId117" /><Relationship Type="http://schemas.openxmlformats.org/officeDocument/2006/relationships/hyperlink" Target="https://www.google.com/maps/dir//Blueleaf+Air+Conditioning+%26+Heating,+5503+Almeda+Rd,+Houston,+TX+77004,+United+States/data=!4m6!4m5!1m1!4e2!1m2!1m1!1s0x864095e8d3eae0bf:0x7d5a5cf46e1dd3a4?sa=X&amp;ved=1t:57443&amp;ictx=111" TargetMode="External" Id="rId118" /><Relationship Type="http://schemas.openxmlformats.org/officeDocument/2006/relationships/hyperlink" Target="https://www.google.com/maps/dir//HVAC+Repair+%26+Air+Duct+Contractors+-+Houston,+TX,+6222+Gessner+Rd,+Houston,+TX+77041,+United+States/data=!4m6!4m5!1m1!4e2!1m2!1m1!1s0x8640cf9f1e72cda1:0x2d7212170282001f?sa=X&amp;ved=1t:57443&amp;ictx=111" TargetMode="External" Id="rId119" /></Relationships>
</file>

<file path=xl/worksheets/_rels/sheet2.xml.rels><Relationships xmlns="http://schemas.openxmlformats.org/package/2006/relationships"><Relationship Type="http://schemas.openxmlformats.org/officeDocument/2006/relationships/hyperlink" Target="https://www.google.com/maps/dir//Arcadia+HVAC+Services+-+Heating+%26+Air+Conditioning,+643+W+Duarte+Rd,+Arcadia,+CA+91007,+United+States/data=!4m6!4m5!1m1!4e2!1m2!1m1!1s0x80c2dbdae215ba25:0x9219b7499e9ab8b9?sa=X&amp;ved=1t:57443&amp;ictx=111" TargetMode="External" Id="rId1" /><Relationship Type="http://schemas.openxmlformats.org/officeDocument/2006/relationships/hyperlink" Target="https://www.google.com/maps/dir//C%26M+Air+Conditioning+And+Heating+Inc,+125+E+St+Joseph+St+Apt+E,+Arcadia,+CA+91006,+United+States/data=!4m6!4m5!1m1!4e2!1m2!1m1!1s0x80c2db8899682ded:0xeadfe7896d5367f6?sa=X&amp;ved=1t:57443&amp;ictx=111" TargetMode="External" Id="rId2" /><Relationship Type="http://schemas.openxmlformats.org/officeDocument/2006/relationships/hyperlink" Target="https://cm-hvacservice.com/" TargetMode="External" Id="rId3" /><Relationship Type="http://schemas.openxmlformats.org/officeDocument/2006/relationships/hyperlink" Target="https://www.google.com/maps/dir//NexGen+HVAC+%26+Plumbing,+5441+Cogswell+Rd+Unit+F,+Arcadia,+CA+91006,+United+States/data=!4m6!4m5!1m1!4e2!1m2!1m1!1s0x80c2d926b17ba6ed:0x29391daee5b88a21?sa=X&amp;ved=1t:57443&amp;ictx=111" TargetMode="External" Id="rId4" /><Relationship Type="http://schemas.openxmlformats.org/officeDocument/2006/relationships/hyperlink" Target="https://nexgenairandplumbing.com/locations/arcadia/?utm_campaign=gmb-listing-arcadia&amp;utm_source=google&amp;utm_medium=organic" TargetMode="External" Id="rId5" /><Relationship Type="http://schemas.openxmlformats.org/officeDocument/2006/relationships/hyperlink" Target="https://www.google.com/maps/dir//Eco+Heating+%26+AC+Repair+Arcadia,+743+W+Duarte+Rd,+Arcadia,+CA+91007,+United+States/data=!4m6!4m5!1m1!4e2!1m2!1m1!1s0x86790394b1ad84ed:0x6860ed7b0de9792c?sa=X&amp;ved=1t:57443&amp;ictx=111" TargetMode="External" Id="rId6" /><Relationship Type="http://schemas.openxmlformats.org/officeDocument/2006/relationships/hyperlink" Target="https://ecoheatingair.com/" TargetMode="External" Id="rId7" /><Relationship Type="http://schemas.openxmlformats.org/officeDocument/2006/relationships/hyperlink" Target="https://theaircoguy.com/" TargetMode="External" Id="rId8" /><Relationship Type="http://schemas.openxmlformats.org/officeDocument/2006/relationships/hyperlink" Target="https://www.google.com/maps/dir//Aire+Serv+of+Pasadena,+125+E+Santa+Clara+St+%2317,+Arcadia,+CA+91006,+United+States/data=!4m6!4m5!1m1!4e2!1m2!1m1!1s0x80c2dbe778ff2e9f:0x1841cdbe57a41ca5?sa=X&amp;ved=1t:57443&amp;ictx=111" TargetMode="External" Id="rId9" /><Relationship Type="http://schemas.openxmlformats.org/officeDocument/2006/relationships/hyperlink" Target="https://www.aireserv.com/pasadena/?cid=LSTL_ASV-US000187&amp;utm_source=gmb&amp;utm_campaign=local&amp;utm_medium=organic" TargetMode="External" Id="rId10" /><Relationship Type="http://schemas.openxmlformats.org/officeDocument/2006/relationships/hyperlink" Target="https://www.google.com/maps/dir//Aryco+HVAC,+140+E+Palm+Ave,+Monrovia,+CA+91016,+United+States/data=!4m6!4m5!1m1!4e2!1m2!1m1!1s0x80c2d94a8192d98d:0xc7f5be8c462578b6?sa=X&amp;ved=1t:57443&amp;ictx=111" TargetMode="External" Id="rId11" /><Relationship Type="http://schemas.openxmlformats.org/officeDocument/2006/relationships/hyperlink" Target="https://arycohvac.com/" TargetMode="External" Id="rId12" /><Relationship Type="http://schemas.openxmlformats.org/officeDocument/2006/relationships/hyperlink" Target="https://www.google.com/maps/dir//Lindsey's+Heat+%26+Air,+333+N+Santa+Anita+Ave+UNIT+16,+Arcadia,+CA+91006,+United+States/data=!4m6!4m5!1m1!4e2!1m2!1m1!1s0x80c2dbe892627f5b:0xefee8f7425f5bd4f?sa=X&amp;ved=1t:57443&amp;ictx=111" TargetMode="External" Id="rId13" /><Relationship Type="http://schemas.openxmlformats.org/officeDocument/2006/relationships/hyperlink" Target="http://lindseysheatandair.com/" TargetMode="External" Id="rId14" /><Relationship Type="http://schemas.openxmlformats.org/officeDocument/2006/relationships/hyperlink" Target="https://www.google.com/maps/dir//Supreme+HVAC+Repair+Arcadia+CA,+127+La+Porte+St+g,+Arcadia,+CA+91006,+United+States/data=!4m6!4m5!1m1!4e2!1m2!1m1!1s0x80c2dbbf5a085327:0x172c1c564c458535?sa=X&amp;ved=1t:57443&amp;ictx=111" TargetMode="External" Id="rId15" /><Relationship Type="http://schemas.openxmlformats.org/officeDocument/2006/relationships/hyperlink" Target="https://www.google.com/maps/dir//Air-Tech+Air+Conditioning+%26+Heating,+Inc.,+204+S+Rosemead+Blvd,+Pasadena,+CA+91107,+United+States/data=!4m6!4m5!1m1!4e2!1m2!1m1!1s0x80c2db7a46cf12dd:0x8e0c807381bc7655?sa=X&amp;ved=1t:57443&amp;ictx=111" TargetMode="External" Id="rId16" /><Relationship Type="http://schemas.openxmlformats.org/officeDocument/2006/relationships/hyperlink" Target="https://www.airtechac.com/?utm_source=google&amp;utm_medium=organic&amp;utm_campaign=gbp" TargetMode="External" Id="rId17" /><Relationship Type="http://schemas.openxmlformats.org/officeDocument/2006/relationships/hyperlink" Target="https://www.google.com/maps/dir//Duarte+Heating+%26+Air+Conditioning,+1800+Highland+Ave,+Duarte,+CA+91010,+United+States/data=!4m6!4m5!1m1!4e2!1m2!1m1!1s0x87e5c7ebc0b792f5:0x167f76d7c7791162?sa=X&amp;ved=1t:57443&amp;ictx=111" TargetMode="External" Id="rId18" /><Relationship Type="http://schemas.openxmlformats.org/officeDocument/2006/relationships/hyperlink" Target="http://duarte-ac-repair.com/" TargetMode="External" Id="rId19" /><Relationship Type="http://schemas.openxmlformats.org/officeDocument/2006/relationships/hyperlink" Target="https://www.google.com/maps/dir//Air-Tro+Inc,+1630+S+Myrtle+Ave,+Monrovia,+CA+91016,+United+States/data=!4m6!4m5!1m1!4e2!1m2!1m1!1s0x80c2d974074b7761:0x7fccf3ea3f0ed52d?sa=X&amp;ved=1t:57443&amp;ictx=111" TargetMode="External" Id="rId20" /><Relationship Type="http://schemas.openxmlformats.org/officeDocument/2006/relationships/hyperlink" Target="https://www.airtro.com/" TargetMode="External" Id="rId21" /><Relationship Type="http://schemas.openxmlformats.org/officeDocument/2006/relationships/hyperlink" Target="https://www.google.com/maps/dir//ABR+Heating+%26+Air+Conditioning,+127+La+Porte+St+g,+Arcadia,+CA+91006,+United+States/data=!4m6!4m5!1m1!4e2!1m2!1m1!1s0x80c2db65c0d8ba21:0xfbfd10dadac034e7?sa=X&amp;ved=1t:57443&amp;ictx=111" TargetMode="External" Id="rId22" /><Relationship Type="http://schemas.openxmlformats.org/officeDocument/2006/relationships/hyperlink" Target="https://www.google.com/maps/dir//Coast+Heating+%26+AC+Repair+Arcadia,+400+S+Baldwin+Ave,+Arcadia,+CA+91007,+United+States/data=!4m6!4m5!1m1!4e2!1m2!1m1!1s0x87d2bd56addab223:0x5944bd8183bd73e0?sa=X&amp;ved=1t:57443&amp;ictx=111" TargetMode="External" Id="rId23" /><Relationship Type="http://schemas.openxmlformats.org/officeDocument/2006/relationships/hyperlink" Target="https://www.google.com/maps/dir//AC+Tech+Inc.,+246+W+Chestnut+Ave,+Monrovia,+CA+91016,+United+States/data=!4m6!4m5!1m1!4e2!1m2!1m1!1s0x80c2d9e0f885ca83:0xdb5ffcfc5d63a38?sa=X&amp;ved=1t:57443&amp;ictx=111" TargetMode="External" Id="rId24" /><Relationship Type="http://schemas.openxmlformats.org/officeDocument/2006/relationships/hyperlink" Target="https://www.kcairandheat.com/?utm_source=google&amp;utm_medium=organic&amp;utm_campaign=gbp" TargetMode="External" Id="rId25" /><Relationship Type="http://schemas.openxmlformats.org/officeDocument/2006/relationships/hyperlink" Target="https://www.google.com/maps/dir//Summer+Heating+%26+Air+Conditioning,+150+N+Santa+Anita+Ave+%23453,+Arcadia,+CA+91006,+United+States/data=!4m6!4m5!1m1!4e2!1m2!1m1!1s0x54afaaa2e44d3637:0xeecf8b5ae6681a33?sa=X&amp;ved=1t:57443&amp;ictx=111" TargetMode="External" Id="rId26" /><Relationship Type="http://schemas.openxmlformats.org/officeDocument/2006/relationships/hyperlink" Target="https://www.google.com/maps/dir//Arcadias+Heating+and+Air+Conditioning,+336+W+Chestnut+Ave,+Monrovia,+CA+91016,+United+States/data=!4m6!4m5!1m1!4e2!1m2!1m1!1s0x80c2d90e4267a61b:0x7e6c2cf1d2e873bc?sa=X&amp;ved=1t:57443&amp;ictx=111" TargetMode="External" Id="rId27" /><Relationship Type="http://schemas.openxmlformats.org/officeDocument/2006/relationships/hyperlink" Target="https://www.google.com/maps/dir//Coastal+Comfort+Heating+%26+AC+Repair+Arcadia,+145+E+Duarte+Rd+suite+g,+Arcadia,+CA+91006,+United+States/data=!4m6!4m5!1m1!4e2!1m2!1m1!1s0x80c2bb0eb73ca129:0x7b6c5ad343874ee8?sa=X&amp;ved=1t:57443&amp;ictx=111" TargetMode="External" Id="rId28" /><Relationship Type="http://schemas.openxmlformats.org/officeDocument/2006/relationships/hyperlink" Target="http://lanesair.com/" TargetMode="External" Id="rId29" /><Relationship Type="http://schemas.openxmlformats.org/officeDocument/2006/relationships/hyperlink" Target="https://www.google.com/maps/dir//Bryant+Heating+%26+Air+Conditioning,+2075+E+Villa+St,+Pasadena,+CA+91107,+United+States/data=!4m6!4m5!1m1!4e2!1m2!1m1!1s0x80c2dae4a2ec195f:0x3598eedaf8bf19fd?sa=X&amp;ved=1t:57443&amp;ictx=111" TargetMode="External" Id="rId30" /><Relationship Type="http://schemas.openxmlformats.org/officeDocument/2006/relationships/hyperlink" Target="https://www.bryantheatandair.com/?utm_source=google&amp;utm_medium=organic&amp;utm_campaign=GMBListing-Pasadena-CA" TargetMode="External" Id="rId31" /><Relationship Type="http://schemas.openxmlformats.org/officeDocument/2006/relationships/hyperlink" Target="https://www.sierramadrehvacservices.com/" TargetMode="External" Id="rId32" /><Relationship Type="http://schemas.openxmlformats.org/officeDocument/2006/relationships/hyperlink" Target="https://www.google.com/maps/dir//Ace+Status+Heating+and+Air+Conditioning+LLC,+203+E+Olive+Ave+apt+2,+Monrovia,+CA+91016,+United+States/data=!4m6!4m5!1m1!4e2!1m2!1m1!1s0x80c2d99f063a3b37:0x2ed909be6ac3ad4d?sa=X&amp;ved=1t:57443&amp;ictx=111" TargetMode="External" Id="rId33" /><Relationship Type="http://schemas.openxmlformats.org/officeDocument/2006/relationships/hyperlink" Target="https://www.google.com/maps/dir//Johnny's+Air+Conditioning,+2380+Corson+St,+Pasadena,+CA+91107,+United+States/data=!4m6!4m5!1m1!4e2!1m2!1m1!1s0x80c2dcaf773d2eef:0xef618356fab2f027?sa=X&amp;ved=1t:57443&amp;ictx=111" TargetMode="External" Id="rId34" /><Relationship Type="http://schemas.openxmlformats.org/officeDocument/2006/relationships/hyperlink" Target="https://johnnysac.com/" TargetMode="External" Id="rId35" /><Relationship Type="http://schemas.openxmlformats.org/officeDocument/2006/relationships/hyperlink" Target="https://www.google.com/maps/dir//Connor+Air+Conditioning+%26+Heating,+4931+Encinita+Ave,+Temple+City,+CA+91780,+United+States/data=!4m6!4m5!1m1!4e2!1m2!1m1!1s0x80c2da8ad5b14bc3:0x3f239d4f150cac?sa=X&amp;ved=1t:57443&amp;ictx=111" TargetMode="External" Id="rId36" /><Relationship Type="http://schemas.openxmlformats.org/officeDocument/2006/relationships/hyperlink" Target="https://connorair.com/" TargetMode="External" Id="rId37" /><Relationship Type="http://schemas.openxmlformats.org/officeDocument/2006/relationships/hyperlink" Target="https://www.google.com/maps/dir//Heating+%26+Cooling,+320+E+Huntington+Dr,+Arcadia,+CA+91006,+United+States/data=!4m6!4m5!1m1!4e2!1m2!1m1!1s0x80c2da2a986676b9:0xed7b85e10dfd92b6?sa=X&amp;ved=1t:57443&amp;ictx=111" TargetMode="External" Id="rId38" /><Relationship Type="http://schemas.openxmlformats.org/officeDocument/2006/relationships/hyperlink" Target="https://www.google.com/maps/dir//Manny's+Heating+%26+Air+Conditioning,+2761+E+Slauson+Ave,+Huntington+Park,+CA+90255,+United+States/data=!4m6!4m5!1m1!4e2!1m2!1m1!1s0x80c2c9c9c313ca95:0xa77691b2b5016954?sa=X&amp;ved=1t:57443&amp;ictx=111" TargetMode="External" Id="rId39" /><Relationship Type="http://schemas.openxmlformats.org/officeDocument/2006/relationships/hyperlink" Target="http://mannyshvac.com/" TargetMode="External" Id="rId40" /><Relationship Type="http://schemas.openxmlformats.org/officeDocument/2006/relationships/hyperlink" Target="https://www.google.com/maps/dir//Arcadia+Chimney+sweep+%26+Air+Duct+Cleaning+Service,+1031+Holly+Ave,+Arcadia,+CA+91007,+United+States/data=!4m6!4m5!1m1!4e2!1m2!1m1!1s0x80c2db6d2d902c59:0x3b70bf87ad9d4b38?sa=X&amp;ved=1t:57443&amp;ictx=111" TargetMode="External" Id="rId41" /><Relationship Type="http://schemas.openxmlformats.org/officeDocument/2006/relationships/hyperlink" Target="https://arcadiachimneysweepandairductcleaningservice.us/" TargetMode="External" Id="rId42" /><Relationship Type="http://schemas.openxmlformats.org/officeDocument/2006/relationships/hyperlink" Target="https://www.google.com/maps/dir//Multi+Air+Service+LLC,+470+Avocado+Ave,+Pasadena,+CA+91107,+United+States/data=!4m6!4m5!1m1!4e2!1m2!1m1!1s0x80c2c3d48c437ebd:0xadbe8e8c6d3ce641?sa=X&amp;ved=1t:57443&amp;ictx=111" TargetMode="External" Id="rId43" /><Relationship Type="http://schemas.openxmlformats.org/officeDocument/2006/relationships/hyperlink" Target="http://www.multiairservice.com/" TargetMode="External" Id="rId44" /><Relationship Type="http://schemas.openxmlformats.org/officeDocument/2006/relationships/hyperlink" Target="https://www.google.com/maps/dir//Temp+Kings+Air,+145+N+Sierra+Madre+Blvd,+Pasadena,+CA+91107,+United+States/data=!4m6!4m5!1m1!4e2!1m2!1m1!1s0x80c2dde0acc1b20d:0xd041e53506e1cfcd?sa=X&amp;ved=1t:57443&amp;ictx=111" TargetMode="External" Id="rId45" /><Relationship Type="http://schemas.openxmlformats.org/officeDocument/2006/relationships/hyperlink" Target="https://tempkingsair.com/" TargetMode="External" Id="rId46" /><Relationship Type="http://schemas.openxmlformats.org/officeDocument/2006/relationships/hyperlink" Target="https://www.google.com/maps/dir//Precise+Air+Systems+Inc.,+5467+W+San+Fernando+Rd,+Los+Angeles,+CA+90039,+United+States/data=!4m6!4m5!1m1!4e2!1m2!1m1!1s0x80c2c042a9162715:0x1b84caeb9a6d7d97?sa=X&amp;ved=1t:57443&amp;ictx=111" TargetMode="External" Id="rId47" /><Relationship Type="http://schemas.openxmlformats.org/officeDocument/2006/relationships/hyperlink" Target="https://www.preciseairsystems.com/?utm_source=google&amp;utm_medium=organic&amp;utm_campaign=gbp" TargetMode="External" Id="rId48" /><Relationship Type="http://schemas.openxmlformats.org/officeDocument/2006/relationships/hyperlink" Target="https://www.google.com/maps/dir//Five+Star+Heating+%26+Air,+1008+Arcadia+Ave+UNIT+A,+Arcadia,+CA+91007,+United+States/data=!4m6!4m5!1m1!4e2!1m2!1m1!1s0x80c2dbb0536a71ed:0x64d9462580dfaca0?sa=X&amp;ved=1t:57443&amp;ictx=111" TargetMode="External" Id="rId49" /><Relationship Type="http://schemas.openxmlformats.org/officeDocument/2006/relationships/hyperlink" Target="https://www.google.com/maps/dir//Piggies+Air+Conditioning,+14510+Baldwin+Park+Towne+Center+Ste+A1,+Baldwin+Park,+CA+91706,+United+States/data=!4m6!4m5!1m1!4e2!1m2!1m1!1s0x80c329c59ba71f57:0x52d302032af29064?sa=X&amp;ved=1t:57443&amp;ictx=111" TargetMode="External" Id="rId50" /><Relationship Type="http://schemas.openxmlformats.org/officeDocument/2006/relationships/hyperlink" Target="https://www.piggiesairconditioning.com/?utm_source=google&amp;utm_medium=organic&amp;utm_campaign=gbp" TargetMode="External" Id="rId51" /><Relationship Type="http://schemas.openxmlformats.org/officeDocument/2006/relationships/hyperlink" Target="https://www.google.com/maps/dir//Evergreen+Air+Conditioning+Repair+Service+Monrovia+LLC,+203+E+Olive+Ave+apt+2,+Monrovia,+CA+91016,+United+States/data=!4m6!4m5!1m1!4e2!1m2!1m1!1s0x80c2d9bc0c504bdb:0x7a8bfbc66a5c595d?sa=X&amp;ved=1t:57443&amp;ictx=111" TargetMode="External" Id="rId52" /><Relationship Type="http://schemas.openxmlformats.org/officeDocument/2006/relationships/hyperlink" Target="https://www.google.com/maps/dir//Iwai+Cooling+%26+Heating,+848+S+Myrtle+Ave+%232,+Monrovia,+CA+91016,+United+States/data=!4m6!4m5!1m1!4e2!1m2!1m1!1s0x80c2d96c1cd01cbd:0x178d41f51a9ad699?sa=X&amp;ved=1t:57443&amp;ictx=111" TargetMode="External" Id="rId53" /><Relationship Type="http://schemas.openxmlformats.org/officeDocument/2006/relationships/hyperlink" Target="http://iwaicoolingheating.com/" TargetMode="External" Id="rId54" /><Relationship Type="http://schemas.openxmlformats.org/officeDocument/2006/relationships/hyperlink" Target="https://www.google.com/maps/dir//Access+Heating+%26+Air+Conditioning,+Inc.,+3712+Blanche+St,+Pasadena,+CA+91107,+United+States/data=!4m6!4m5!1m1!4e2!1m2!1m1!1s0x80c2dadbcb19be61:0x16668ebc93ee30ec?sa=X&amp;ved=1t:57443&amp;ictx=111" TargetMode="External" Id="rId55" /><Relationship Type="http://schemas.openxmlformats.org/officeDocument/2006/relationships/hyperlink" Target="https://www.accessairnow.com/" TargetMode="External" Id="rId56" /><Relationship Type="http://schemas.openxmlformats.org/officeDocument/2006/relationships/hyperlink" Target="https://www.google.com/maps/dir//Evergreen+Air+Conditioning+Repair+Services+Monrovia,+310+S+Magnolia+Ave,+Monrovia,+CA+91016,+United+States/data=!4m6!4m5!1m1!4e2!1m2!1m1!1s0x80c2d980e3abe7e9:0x5e852ec43c2df639?sa=X&amp;ved=1t:57443&amp;ictx=111" TargetMode="External" Id="rId57" /><Relationship Type="http://schemas.openxmlformats.org/officeDocument/2006/relationships/hyperlink" Target="https://www.google.com/maps/dir//A+%26+L+HVAC+Sierra+Madre,+35+Montecito+Ct,+Sierra+Madre,+CA+91024,+United+States/data=!4m6!4m5!1m1!4e2!1m2!1m1!1s0x808529b72d6f04b7:0x7166fc131dfaf853?sa=X&amp;ved=1t:57443&amp;ictx=111" TargetMode="External" Id="rId58" /><Relationship Type="http://schemas.openxmlformats.org/officeDocument/2006/relationships/hyperlink" Target="https://www.aandlhvacsierramadre.com/" TargetMode="External" Id="rId59" /><Relationship Type="http://schemas.openxmlformats.org/officeDocument/2006/relationships/hyperlink" Target="http://thermaltech-hvac.com/" TargetMode="External" Id="rId60" /></Relationships>
</file>

<file path=xl/worksheets/_rels/sheet3.xml.rels><Relationships xmlns="http://schemas.openxmlformats.org/package/2006/relationships"><Relationship Type="http://schemas.openxmlformats.org/officeDocument/2006/relationships/hyperlink" Target="https://discovercabrillo.com/?utm_source=gmb&amp;utm_medium=organic" TargetMode="External" Id="rId1" /><Relationship Type="http://schemas.openxmlformats.org/officeDocument/2006/relationships/hyperlink" Target="https://www.google.com/maps/dir//Cabrillo+Plumbing,+Heating+%26+Air,+78+Dorman+Ave,+San+Francisco,+CA+94124,+United+States/data=!4m6!4m5!1m1!4e2!1m2!1m1!1s0x808f7e5577462b97:0x1902c1a611c068da?sa=X&amp;ved=1t:57443&amp;ictx=111" TargetMode="External" Id="rId2" /><Relationship Type="http://schemas.openxmlformats.org/officeDocument/2006/relationships/hyperlink" Target="http://sanfranciscoexprethvac.com/" TargetMode="External" Id="rId3" /><Relationship Type="http://schemas.openxmlformats.org/officeDocument/2006/relationships/hyperlink" Target="https://www.google.com/maps/dir//San+Francisco+Expert+Heating+and+Air,+1725+Montgomery+St,+San+Francisco,+CA+94111,+United+States/data=!4m6!4m5!1m1!4e2!1m2!1m1!1s0x880b6e5b82146e8d:0x39fcc6395b6fdc25?sa=X&amp;ved=1t:57443&amp;ictx=111" TargetMode="External" Id="rId4" /><Relationship Type="http://schemas.openxmlformats.org/officeDocument/2006/relationships/hyperlink" Target="https://www.magicplumbing.com/?utm_campaign=gmb&amp;utm_medium=organic&amp;utm_source=google" TargetMode="External" Id="rId5" /><Relationship Type="http://schemas.openxmlformats.org/officeDocument/2006/relationships/hyperlink" Target="https://www.google.com/maps/dir//Magic+Plumbing+Heating+%26+Cooling,+1455+Bancroft+Ave,+San+Francisco,+CA+94124,+United+States/data=!4m6!4m5!1m1!4e2!1m2!1m1!1s0x808f7f68355b576b:0xee89717dfae6beb6?sa=X&amp;ved=1t:57443&amp;ictx=111" TargetMode="External" Id="rId6" /><Relationship Type="http://schemas.openxmlformats.org/officeDocument/2006/relationships/hyperlink" Target="https://book.servicetitan.com/g087znkrpan2fy8cf92l22aj?hl=en-ZA&amp;gei=aziKafL8JcegseMP8PjKmAU&amp;rwg_token=AFd1xnEo8m4CBdDA7f9GpJctj2DyMpEzSXhFmlpPBGp2ouJrTFiyMpJAXsdhpYzb306DQIeP-qIL_CdZTFbxBEc9gyqSJjUGDQ%3D%3D&amp;source=cat" TargetMode="External" Id="rId7" /><Relationship Type="http://schemas.openxmlformats.org/officeDocument/2006/relationships/hyperlink" Target="https://nexthvacrepair.com/?utm_source=gmb&amp;utm_medium=site" TargetMode="External" Id="rId8" /><Relationship Type="http://schemas.openxmlformats.org/officeDocument/2006/relationships/hyperlink" Target="https://www.google.com/maps/dir//Next+HVAC+and+Appliance+repair,+1+Henry+Adams+St+unit+S324,+San+Francisco,+CA+94103,+United+States/data=!4m6!4m5!1m1!4e2!1m2!1m1!1s0x808f7f12039c22f3:0x8bfce4d0b3f222b5?sa=X&amp;ved=1t:57443&amp;ictx=111" TargetMode="External" Id="rId9" /><Relationship Type="http://schemas.openxmlformats.org/officeDocument/2006/relationships/hyperlink" Target="http://trueheatingandairconditioningservice.com/san-francisco" TargetMode="External" Id="rId10" /><Relationship Type="http://schemas.openxmlformats.org/officeDocument/2006/relationships/hyperlink" Target="https://www.google.com/maps/dir//Around+The+Clock+HVAC,+737+Lisbon+St,+San+Francisco,+CA+94112,+United+States/data=!4m6!4m5!1m1!4e2!1m2!1m1!1s0x808f7fa1f98b2413:0x65a8a90f55d682a1?sa=X&amp;ved=1t:57443&amp;ictx=111" TargetMode="External" Id="rId11" /><Relationship Type="http://schemas.openxmlformats.org/officeDocument/2006/relationships/hyperlink" Target="http://www.associatedheatingsf.com/" TargetMode="External" Id="rId12" /><Relationship Type="http://schemas.openxmlformats.org/officeDocument/2006/relationships/hyperlink" Target="https://www.google.com/maps/dir//Associated+Heating+of+San+Francisco,+5786+Mission+St,+San+Francisco,+CA+94112,+United+States/data=!4m6!4m5!1m1!4e2!1m2!1m1!1s0x808f7c21379b9f2b:0x4a8fa043b4d8786c?sa=X&amp;ved=1t:57443&amp;ictx=111" TargetMode="External" Id="rId13" /><Relationship Type="http://schemas.openxmlformats.org/officeDocument/2006/relationships/hyperlink" Target="https://www.google.com/maps/dir//San+Francisco+Heating+%26+Air+Conditioning+Services,+690+Andover+St,+San+Francisco,+CA+94110,+United+States/data=!4m6!4m5!1m1!4e2!1m2!1m1!1s0x808f73ca5dd776eb:0x15b7bdb1e1490565?sa=X&amp;ved=1t:57443&amp;ictx=111" TargetMode="External" Id="rId14" /><Relationship Type="http://schemas.openxmlformats.org/officeDocument/2006/relationships/hyperlink" Target="http://innersunsettophvacrepair.com/" TargetMode="External" Id="rId15" /><Relationship Type="http://schemas.openxmlformats.org/officeDocument/2006/relationships/hyperlink" Target="https://www.google.com/maps/dir//Inner+Sunset+Top+Heating+and+Air,+2151+Irving+St,+San+Francisco,+CA+94122,+United+States/data=!4m6!4m5!1m1!4e2!1m2!1m1!1s0x880a0abea316e9bb:0x57c08b1efeaeeb83?sa=X&amp;ved=1t:57443&amp;ictx=111" TargetMode="External" Id="rId16" /><Relationship Type="http://schemas.openxmlformats.org/officeDocument/2006/relationships/hyperlink" Target="https://www.heisesplumbing.com/" TargetMode="External" Id="rId17" /><Relationship Type="http://schemas.openxmlformats.org/officeDocument/2006/relationships/hyperlink" Target="https://www.google.com/maps/dir//Heise's+Plumbing,+260+Ocean+Ave,+San+Francisco,+CA+94112,+United+States/data=!4m6!4m5!1m1!4e2!1m2!1m1!1s0x808f7e81400d1745:0x66a11a8bd8b9cca?sa=X&amp;ved=1t:57443&amp;ictx=111" TargetMode="External" Id="rId18" /><Relationship Type="http://schemas.openxmlformats.org/officeDocument/2006/relationships/hyperlink" Target="https://acostaheatingandair.com/" TargetMode="External" Id="rId19" /><Relationship Type="http://schemas.openxmlformats.org/officeDocument/2006/relationships/hyperlink" Target="https://www.google.com/maps/dir//Acosta+Heating+%26+Sheet+Metal,+1000+California+St,+San+Francisco,+CA+94108,+United+States/data=!4m6!4m5!1m1!4e2!1m2!1m1!1s0x8085876cc25d951f:0xb26a6093de2a9461?sa=X&amp;ved=1t:57443&amp;ictx=111" TargetMode="External" Id="rId20" /><Relationship Type="http://schemas.openxmlformats.org/officeDocument/2006/relationships/hyperlink" Target="https://www.afpheating.com/?utm_source=google&amp;utm_medium=organic&amp;utm_campaign=gbp" TargetMode="External" Id="rId21" /><Relationship Type="http://schemas.openxmlformats.org/officeDocument/2006/relationships/hyperlink" Target="https://www.google.com/maps/dir//Air+Flow+Pros+Heating+and+Air+Conditioning,+2595+Mission+St+suite+202,+San+Francisco,+CA+94110,+United+States/data=!4m6!4m5!1m1!4e2!1m2!1m1!1s0x808f7f2c07ee2659:0xe571180f4fbdc29c?sa=X&amp;ved=1t:57443&amp;ictx=111" TargetMode="External" Id="rId22" /><Relationship Type="http://schemas.openxmlformats.org/officeDocument/2006/relationships/hyperlink" Target="https://flowmastersplumbing.com/?utm_source=organic&amp;utm_medium=gbp_listing" TargetMode="External" Id="rId23" /><Relationship Type="http://schemas.openxmlformats.org/officeDocument/2006/relationships/hyperlink" Target="https://www.google.com/maps/dir//Flow+Masters+Plumbing,+Drain+and+Water+Heater,+6169+Mission+St,+Daly+City,+CA+94014,+United+States/data=!4m6!4m5!1m1!4e2!1m2!1m1!1s0x8085873e77f6a45b:0x93150fe496745290?sa=X&amp;ved=1t:57443&amp;ictx=111" TargetMode="External" Id="rId24" /><Relationship Type="http://schemas.openxmlformats.org/officeDocument/2006/relationships/hyperlink" Target="https://www.calljazz.com/?utm_source=google-gbp&amp;utm_medium=organic&amp;utm_campaign=*284*jazz-heating-ac-pleasanton" TargetMode="External" Id="rId25" /><Relationship Type="http://schemas.openxmlformats.org/officeDocument/2006/relationships/hyperlink" Target="https://www.google.com/maps/dir//Jazz+Heating,+Air+Conditioning+and+Plumbing,+2158+Rheem+Dr,+Pleasanton,+CA+94588,+United+States/data=!4m6!4m5!1m1!4e2!1m2!1m1!1s0x808fc9351c99f5fd:0xfba907936b3b3923?sa=X&amp;ved=1t:57443&amp;ictx=111" TargetMode="External" Id="rId26" /><Relationship Type="http://schemas.openxmlformats.org/officeDocument/2006/relationships/hyperlink" Target="https://book.servicetitan.com/n7wlgkwhdjrx2mllgzkphlec?hl=en-ZA&amp;gei=aziKafL8JcegseMP8PjKmAU&amp;rwg_token=AFd1xnHwO0btMsTtCq1S_04JT-eip2Pfn6vSgZmndCmvSayOwKCfSm5-QVbVNyxvV4Ea23aiC3N3hfEFmLL9wGEPk7odPEnZFg%3D%3D&amp;source=cat" TargetMode="External" Id="rId27" /><Relationship Type="http://schemas.openxmlformats.org/officeDocument/2006/relationships/hyperlink" Target="https://metroheatingrepair.com/San-Francisco" TargetMode="External" Id="rId28" /><Relationship Type="http://schemas.openxmlformats.org/officeDocument/2006/relationships/hyperlink" Target="https://www.serviceexperts.com/east-bay-ca/?&amp;utm_campaign=listing&amp;utm_medium=organic_search&amp;utm_source=gmb&amp;utm_content=brand" TargetMode="External" Id="rId29" /><Relationship Type="http://schemas.openxmlformats.org/officeDocument/2006/relationships/hyperlink" Target="https://www.google.com/maps/dir//Service+Experts+Heating+%26+Air+Conditioning,+4935+Southfront+Rd+A,+Livermore,+CA+94551,+United+States/data=!4m6!4m5!1m1!4e2!1m2!1m1!1s0x808fec1750438b87:0x2b2cb0add109a622?sa=X&amp;ved=1t:57443&amp;ictx=111" TargetMode="External" Id="rId30" /><Relationship Type="http://schemas.openxmlformats.org/officeDocument/2006/relationships/hyperlink" Target="https://book.servicetitan.com/xpxd5osh163e55acw1o67oao?hl=en-ZA&amp;gei=aziKafL8JcegseMP8PjKmAU&amp;rwg_token=AFd1xnEJGH6rCgqoqYx-Bd33KGffdI9-mFZxU1GiFrGTM-wJ_wozy0EJFEjnH7GizczplqZumbRb6NHUYeOyuuTv57NjSta1yw%3D%3D&amp;source=cat" TargetMode="External" Id="rId31" /><Relationship Type="http://schemas.openxmlformats.org/officeDocument/2006/relationships/hyperlink" Target="https://www.google.com/maps/dir//Mitch+%26+Sons+HVAC,+27+Digby+St,+San+Francisco,+CA+94131,+United+States/data=!4m6!4m5!1m1!4e2!1m2!1m1!1s0x89e5d5a72449313f:0x7a2ca45b03b48ba1?sa=X&amp;ved=1t:57443&amp;ictx=111" TargetMode="External" Id="rId32" /><Relationship Type="http://schemas.openxmlformats.org/officeDocument/2006/relationships/hyperlink" Target="https://galaxyservices.com/" TargetMode="External" Id="rId33" /><Relationship Type="http://schemas.openxmlformats.org/officeDocument/2006/relationships/hyperlink" Target="https://www.google.com/maps/dir//Galaxy+Heating+%26+Air+Conditioning,+3301+Vincent+Rd,+Pleasant+Hill,+CA+94523,+United+States/data=!4m6!4m5!1m1!4e2!1m2!1m1!1s0x808561e421bac91f:0x7fdd983f1f92a11f?sa=X&amp;ved=1t:57443&amp;ictx=111" TargetMode="External" Id="rId34" /><Relationship Type="http://schemas.openxmlformats.org/officeDocument/2006/relationships/hyperlink" Target="https://galaxyhvacrepair.com/?hl=en-ZA&amp;gei=aziKafL8JcegseMP8PjKmAU&amp;rwg_token=AFd1xnHS96JPYEHxI1sPLQq68r4OodKjXJe6Ad_VwZMg2TLOx9yFOxyLIM45vP0UrFvnkExrj2WvLGouFYdGSNUQ3iR2tceceg%3D%3D&amp;source=cat" TargetMode="External" Id="rId35" /><Relationship Type="http://schemas.openxmlformats.org/officeDocument/2006/relationships/hyperlink" Target="https://www.google.com/maps/dir//Heating+%26+Air+Conditioning+San+Francisco,+1607+20th+St,+San+Francisco,+CA+94107,+United+States/data=!4m6!4m5!1m1!4e2!1m2!1m1!1s0x80858766d00fcad9:0xb647fda681300a3b?sa=X&amp;ved=1t:57443&amp;ictx=111" TargetMode="External" Id="rId36" /><Relationship Type="http://schemas.openxmlformats.org/officeDocument/2006/relationships/hyperlink" Target="https://www.acheatingandair.net/" TargetMode="External" Id="rId37" /><Relationship Type="http://schemas.openxmlformats.org/officeDocument/2006/relationships/hyperlink" Target="https://www.google.com/maps/dir//AC+Heating+and+Cooling+Service+Inc.,+945+Taraval+St+Suite+177,+San+Francisco,+CA+94116,+United+States/data=!4m6!4m5!1m1!4e2!1m2!1m1!1s0x808f7c7955555555:0x45be2ce6adba99d5?sa=X&amp;ved=1t:57443&amp;ictx=111" TargetMode="External" Id="rId38" /><Relationship Type="http://schemas.openxmlformats.org/officeDocument/2006/relationships/hyperlink" Target="https://www.google.com/maps/dir//Best+AC+Service+San+Francisco,+1687+Church+St,+San+Francisco,+CA+94131,+United+States/data=!4m6!4m5!1m1!4e2!1m2!1m1!1s0x808f7f0aa09aefcb:0xc6ae808e601aa593?sa=X&amp;ved=1t:57443&amp;ictx=111" TargetMode="External" Id="rId39" /><Relationship Type="http://schemas.openxmlformats.org/officeDocument/2006/relationships/hyperlink" Target="https://www.google.com/maps/dir//Same+Day+Air+Conditioning+%26+Heating,+3334+Arden+Rd,+Hayward,+CA+94545,+United+States/data=!4m6!4m5!1m1!4e2!1m2!1m1!1s0x808f978a26b0c083:0xaf896d8f600b7065?sa=X&amp;ved=1t:57443&amp;ictx=111" TargetMode="External" Id="rId40" /><Relationship Type="http://schemas.openxmlformats.org/officeDocument/2006/relationships/hyperlink" Target="https://samedayhvachayward.com/" TargetMode="External" Id="rId41" /><Relationship Type="http://schemas.openxmlformats.org/officeDocument/2006/relationships/hyperlink" Target="https://www.google.com/maps/dir//Heating+%26+Cooling+San+Francisco,+3105+16th+St,+San+Francisco,+CA+94103,+United+States/data=!4m6!4m5!1m1!4e2!1m2!1m1!1s0x808f7e1efa2e0ca5:0x68c4127be7a59c84?sa=X&amp;ved=1t:57443&amp;ictx=111" TargetMode="External" Id="rId42" /><Relationship Type="http://schemas.openxmlformats.org/officeDocument/2006/relationships/hyperlink" Target="https://www.google.com/maps/dir//Schmitt+Heating+%26+Air+Conditioning,+1580+Tennessee+St,+San+Francisco,+CA+94107,+United+States/data=!4m6!4m5!1m1!4e2!1m2!1m1!1s0x808f7e20fe5771cd:0x3859c666e34d78b3?sa=X&amp;ved=1t:57443&amp;ictx=111" TargetMode="External" Id="rId43" /><Relationship Type="http://schemas.openxmlformats.org/officeDocument/2006/relationships/hyperlink" Target="https://www.schmittheating.com/" TargetMode="External" Id="rId44" /><Relationship Type="http://schemas.openxmlformats.org/officeDocument/2006/relationships/hyperlink" Target="https://www.google.com/maps/dir//Heating+%26+Cooling+San+Francisco,+2427+3rd+St,+San+Francisco,+CA+94107,+United+States/data=!4m6!4m5!1m1!4e2!1m2!1m1!1s0x808f7fb6b06b9599:0x1d940d86f97bf0c8?sa=X&amp;ved=1t:57443&amp;ictx=111" TargetMode="External" Id="rId45" /><Relationship Type="http://schemas.openxmlformats.org/officeDocument/2006/relationships/hyperlink" Target="https://www.google.com/maps/dir//Ironpoint+Heating+Service+LLC.,+1050+O'Farrell+St,+San+Francisco,+CA+94109,+United+States/data=!4m6!4m5!1m1!4e2!1m2!1m1!1s0x808581000f0ed07d:0x457c74e5c067a50d?sa=X&amp;ved=1t:57443&amp;ictx=111" TargetMode="External" Id="rId46" /><Relationship Type="http://schemas.openxmlformats.org/officeDocument/2006/relationships/hyperlink" Target="https://www.google.com/maps/dir//Galaxy+Heating+%26+Air+Conditioning,+584+Castro+St,+San+Francisco,+CA+94114,+United+States/data=!4m6!4m5!1m1!4e2!1m2!1m1!1s0x808f7f102141c20b:0x5ca535550e8fbb70?sa=X&amp;ved=1t:57443&amp;ictx=111" TargetMode="External" Id="rId47" /><Relationship Type="http://schemas.openxmlformats.org/officeDocument/2006/relationships/hyperlink" Target="https://galaxyservices.com/" TargetMode="External" Id="rId48" /><Relationship Type="http://schemas.openxmlformats.org/officeDocument/2006/relationships/hyperlink" Target="https://www.google.com/maps/dir//Atlas+Heating+%22The+Original+Since+1908%22+(Atlas+Trillo+is+NOT+us,+please+don't+be+confused),+407+Cabot+Rd,+South+San+Francisco,+CA+94080,+United+States/data=!4m6!4m5!1m1!4e2!1m2!1m1!1s0x808f785204516ecb:0xbecd7fba3a240a4d?sa=X&amp;ved=1t:57443&amp;ictx=111" TargetMode="External" Id="rId49" /><Relationship Type="http://schemas.openxmlformats.org/officeDocument/2006/relationships/hyperlink" Target="http://atlasheat.com/" TargetMode="External" Id="rId50" /><Relationship Type="http://schemas.openxmlformats.org/officeDocument/2006/relationships/hyperlink" Target="https://www.google.com/maps/dir//Heating+%26+Air+Conditioning+San+Francisco,+600+Castro+St,+San+Francisco,+CA+94114,+United+States/data=!4m6!4m5!1m1!4e2!1m2!1m1!1s0x808f70be8a75146f:0x3349af2b40804121?sa=X&amp;ved=1t:57443&amp;ictx=111" TargetMode="External" Id="rId51" /><Relationship Type="http://schemas.openxmlformats.org/officeDocument/2006/relationships/hyperlink" Target="https://www.google.com/maps/dir//Apollo+Heating+%26+Ventilating,+1005+Geneva+Ave,+San+Francisco,+CA+94112,+United+States/data=!4m6!4m5!1m1!4e2!1m2!1m1!1s0x808f7e9ba6598e95:0x4e05eb9aa6c9c78e?sa=X&amp;ved=1t:57443&amp;ictx=111" TargetMode="External" Id="rId52" /><Relationship Type="http://schemas.openxmlformats.org/officeDocument/2006/relationships/hyperlink" Target="https://www.google.com/maps/dir//Fuse+HVAC+%26+Electrical+Services+Burlingame,+533+Airport+Blvd.,+Burlingame,+CA+94010,+United+States/data=!4m6!4m5!1m1!4e2!1m2!1m1!1s0x8ee018ac9b51eac7:0x50143967bcb56642?sa=X&amp;ved=1t:57443&amp;ictx=111" TargetMode="External" Id="rId53" /><Relationship Type="http://schemas.openxmlformats.org/officeDocument/2006/relationships/hyperlink" Target="https://fuserepairsf.com/" TargetMode="External" Id="rId54" /><Relationship Type="http://schemas.openxmlformats.org/officeDocument/2006/relationships/hyperlink" Target="http://hvac-expert-inc.com/twin-peaks/" TargetMode="External" Id="rId55" /><Relationship Type="http://schemas.openxmlformats.org/officeDocument/2006/relationships/hyperlink" Target="https://www.google.com/maps/dir//Heating+%26+Cooling+San+Francisco,+3497+Mission+St,+San+Francisco,+CA+94110,+United+States/data=!4m6!4m5!1m1!4e2!1m2!1m1!1s0x808f79a904aa940b:0x755fb4c293c47154?sa=X&amp;ved=1t:57443&amp;ictx=111" TargetMode="External" Id="rId56" /><Relationship Type="http://schemas.openxmlformats.org/officeDocument/2006/relationships/hyperlink" Target="https://www.google.com/maps/dir//San+Francisco+Heating+and+Air+Conditioning+Inc..,+148+Townsend+St,+San+Francisco,+CA+94107,+United+States/data=!4m6!4m5!1m1!4e2!1m2!1m1!1s0x808f7e28d7c95c8d:0x6c42283e8ed016f6?sa=X&amp;ved=1t:57443&amp;ictx=111" TargetMode="External" Id="rId57" /><Relationship Type="http://schemas.openxmlformats.org/officeDocument/2006/relationships/hyperlink" Target="https://www.google.com/maps/dir//San+Francisco+Heating+And+Air+Conditioning,+4440-4442+Mission+St,+San+Francisco,+CA+94112,+United+States/data=!4m6!4m5!1m1!4e2!1m2!1m1!1s0x808fccdb8415c3bf:0x819216a8f4858f4a?sa=X&amp;ved=1t:57443&amp;ictx=111" TargetMode="External" Id="rId58" /></Relationships>
</file>

<file path=xl/worksheets/_rels/sheet4.xml.rels><Relationships xmlns="http://schemas.openxmlformats.org/package/2006/relationships"><Relationship Type="http://schemas.openxmlformats.org/officeDocument/2006/relationships/hyperlink" Target="https://cm-hvacservice.com/" TargetMode="External" Id="rId1" /><Relationship Type="http://schemas.openxmlformats.org/officeDocument/2006/relationships/hyperlink" Target="https://theaircoguy.com/" TargetMode="External" Id="rId2" /><Relationship Type="http://schemas.openxmlformats.org/officeDocument/2006/relationships/hyperlink" Target="http://lindseysheatandair.com/" TargetMode="External" Id="rId3" /><Relationship Type="http://schemas.openxmlformats.org/officeDocument/2006/relationships/hyperlink" Target="http://duarte-ac-repair.com/" TargetMode="External" Id="rId4" /><Relationship Type="http://schemas.openxmlformats.org/officeDocument/2006/relationships/hyperlink" Target="https://www.kcairandheat.com/?utm_source=google&amp;utm_medium=organic&amp;utm_campaign=gbp" TargetMode="External" Id="rId5" /><Relationship Type="http://schemas.openxmlformats.org/officeDocument/2006/relationships/hyperlink" Target="http://lanesair.com/" TargetMode="External" Id="rId6" /><Relationship Type="http://schemas.openxmlformats.org/officeDocument/2006/relationships/hyperlink" Target="http://sanfranciscoexprethvac.com/" TargetMode="External" Id="rId7" /><Relationship Type="http://schemas.openxmlformats.org/officeDocument/2006/relationships/hyperlink" Target="http://www.associatedheatingsf.com/" TargetMode="External" Id="rId8" /><Relationship Type="http://schemas.openxmlformats.org/officeDocument/2006/relationships/hyperlink" Target="http://innersunsettophvacrepair.com/" TargetMode="External" Id="rId9" /><Relationship Type="http://schemas.openxmlformats.org/officeDocument/2006/relationships/hyperlink" Target="https://acostaheatingandair.com/" TargetMode="External" Id="rId10" /><Relationship Type="http://schemas.openxmlformats.org/officeDocument/2006/relationships/hyperlink" Target="https://www.afpheating.com/?utm_source=google&amp;utm_medium=organic&amp;utm_campaign=gbp" TargetMode="External" Id="rId11" /><Relationship Type="http://schemas.openxmlformats.org/officeDocument/2006/relationships/hyperlink" Target="https://metroheatingrepair.com/San-Francisco" TargetMode="External" Id="rId12" /><Relationship Type="http://schemas.openxmlformats.org/officeDocument/2006/relationships/hyperlink" Target="https://www.acheatingandair.net/" TargetMode="External" Id="rId13" /><Relationship Type="http://schemas.openxmlformats.org/officeDocument/2006/relationships/hyperlink" Target="https://www.coolcareac.com/?utm_source=gbp&amp;utm_medium=organic" TargetMode="External" Id="rId14" /><Relationship Type="http://schemas.openxmlformats.org/officeDocument/2006/relationships/hyperlink" Target="https://htownacrepair.com/" TargetMode="External" Id="rId15" /><Relationship Type="http://schemas.openxmlformats.org/officeDocument/2006/relationships/hyperlink" Target="https://www.bellaireair.com/?utm_source=google&amp;utm_medium=organic&amp;utm_term=gbp" TargetMode="External" Id="rId16" /><Relationship Type="http://schemas.openxmlformats.org/officeDocument/2006/relationships/hyperlink" Target="https://book.housecallpro.com/book/Ace-Comfort-Air-Conditioning--Heating-LLC/b332c3320d634dda91dc983f29e6e26b?v2=true&amp;lead_source=google&amp;merchant_id=5db04b9c-7240-4c8f-8f1e-c5bba10030c2&amp;hl=en-ZA&amp;gei=tDaKaYj2HM-mhbIP54DAwAg&amp;rwg_token=AFd1xnFQL65iXB_Vo6ke4H5kUXIphXNQC1JEcXVule6XFXuuwO5Y4tfn644p1cbyCcdCsfU741gFAGbOq-NdiuWtwB1LW8wolQ%3D%3D&amp;source=cat" TargetMode="External" Id="rId17" /><Relationship Type="http://schemas.openxmlformats.org/officeDocument/2006/relationships/hyperlink" Target="https://book.housecallpro.com/book/Just-N-Time-Air-Condition-and-Heating/44beadb58f6448c28dc03f9229545e06?v2=true&amp;lead_source=google&amp;merchant_id=43988923-28e7-4d3a-b936-a20e6019d19f&amp;hl=en-ZA&amp;gei=tDaKaYj2HM-mhbIP54DAwAg&amp;rwg_token=AFd1xnGJFjzCM-NAB2aH4EvCtgcubnmSGtH3HT9g8-vFmk0gc2XlrJSxCdNIMiigRTwqv6C8qRqOqASStF2rfpqx6lcprKyHCw%3D%3D&amp;source=cat" TargetMode="External" Id="rId18" /><Relationship Type="http://schemas.openxmlformats.org/officeDocument/2006/relationships/hyperlink" Target="https://api.leadconnectorhq.com/widget/group/bTgfJTUQkuHmlMMI8aFR?hl=en-ZA&amp;gei=tDaKaYj2HM-mhbIP54DAwAg&amp;rwg_token=AFd1xnECFuCRv0Z-biPxYtT-YWbmKai3u4E9N3DLmFsrzFD4EWOq85_V4TbL961F1ECBJJgkzgmlOhM9UXNvpjaCmEda85EGZw%3D%3D&amp;source=cat" TargetMode="External" Id="rId19" /><Relationship Type="http://schemas.openxmlformats.org/officeDocument/2006/relationships/hyperlink" Target="https://www.comfortstaracrepairhouston.com/" TargetMode="External" Id="rId20" /><Relationship Type="http://schemas.openxmlformats.org/officeDocument/2006/relationships/hyperlink" Target="https://www.richmondsair.com/?utm_source=gmb&amp;utm_medium=website" TargetMode="External" Id="rId21" /><Relationship Type="http://schemas.openxmlformats.org/officeDocument/2006/relationships/hyperlink" Target="https://ecoheatingair.com/" TargetMode="External" Id="rId22" /><Relationship Type="http://schemas.openxmlformats.org/officeDocument/2006/relationships/hyperlink" Target="https://arycohvac.com/" TargetMode="External" Id="rId23" /><Relationship Type="http://schemas.openxmlformats.org/officeDocument/2006/relationships/hyperlink" Target="https://www.bryantheatandair.com/?utm_source=google&amp;utm_medium=organic&amp;utm_campaign=GMBListing-Pasadena-CA" TargetMode="External" Id="rId24" /><Relationship Type="http://schemas.openxmlformats.org/officeDocument/2006/relationships/hyperlink" Target="https://nexthvacrepair.com/?utm_source=gmb&amp;utm_medium=site" TargetMode="External" Id="rId25" /><Relationship Type="http://schemas.openxmlformats.org/officeDocument/2006/relationships/hyperlink" Target="http://trueheatingandairconditioningservice.com/san-francisco" TargetMode="External" Id="rId26" /><Relationship Type="http://schemas.openxmlformats.org/officeDocument/2006/relationships/hyperlink" Target="https://galaxyservices.com/" TargetMode="External" Id="rId27" /><Relationship Type="http://schemas.openxmlformats.org/officeDocument/2006/relationships/hyperlink" Target="https://www.airtechofhouston.com/locations/houston-tx/?utm_source=google-gbp&amp;utm_medium=organic&amp;utm_campaign=*19*air-tech-houston" TargetMode="External" Id="rId28" /><Relationship Type="http://schemas.openxmlformats.org/officeDocument/2006/relationships/hyperlink" Target="https://www.missionac.com/locations/houston-tx/?utm_source=google&amp;utm_medium=organic&amp;utm_campaign=gbp" TargetMode="External" Id="rId29" /><Relationship Type="http://schemas.openxmlformats.org/officeDocument/2006/relationships/hyperlink" Target="https://book.housecallpro.com/book/Uptown-Heating--Air-Conditioning/71ca9bbb24d1492f91638e1389575439?v2=true&amp;lead_source=google&amp;merchant_id=fa54d708-9c6f-4c50-9c7e-52f98f7797a4&amp;hl=en-ZA&amp;gei=tDaKaYj2HM-mhbIP54DAwAg&amp;rwg_token=AFd1xnGpCnBrNXGQiel04NX6UWg8qkuZkMLisk76YZ9t6e71tcd5QnlQSS0AT54Vk-x_dcSABDXy-nP7Oil1vZuqjdnyzkfCrQ%3D%3D&amp;source=cat" TargetMode="External" Id="rId30" /><Relationship Type="http://schemas.openxmlformats.org/officeDocument/2006/relationships/hyperlink" Target="http://www.davelaneair.com/" TargetMode="External" Id="rId31" /><Relationship Type="http://schemas.openxmlformats.org/officeDocument/2006/relationships/hyperlink" Target="https://www.airtechofhumble.com/locations/humble-tx/?utm_source=google-gbp&amp;utm_medium=organic&amp;utm_campaign=*20*air-tech-humble" TargetMode="External" Id="rId32" /><Relationship Type="http://schemas.openxmlformats.org/officeDocument/2006/relationships/hyperlink" Target="https://book.housecallpro.com/book/Be-Cool-AC--Heating/255cf6683249459c991100fb3caf83c4?v2=true&amp;lead_source=google&amp;merchant_id=1b182ced-e379-4797-8a1c-6eb15204a02f&amp;hl=en-ZA&amp;gei=tDaKaYj2HM-mhbIP54DAwAg&amp;rwg_token=AFd1xnEK-rmvUV6-iREpf_8AoMPq7Us1ISMAZiKEp4A3lNc2s_Bv7uaTbrrSyMkICxKWDRYQKcZqOafTgZfauN5acaW9T0UtxQ%3D%3D&amp;source=cat" TargetMode="External" Id="rId33" /><Relationship Type="http://schemas.openxmlformats.org/officeDocument/2006/relationships/hyperlink" Target="https://www.airspecialist.com/?utm_campaign=Google+My+Business&amp;utm_source=GMB&amp;utm_medium=organic&amp;utm_content=Website" TargetMode="External" Id="rId34" /><Relationship Type="http://schemas.openxmlformats.org/officeDocument/2006/relationships/hyperlink" Target="https://www.abacusplumbing.net/?utm_campaign=gmb_ab-hou_home_everyone_gmb-houston&amp;utm_medium=gmb&amp;utm_source=google" TargetMode="External" Id="rId35" /><Relationship Type="http://schemas.openxmlformats.org/officeDocument/2006/relationships/hyperlink" Target="https://www.serviceexperts.com/houston-tx?&amp;utm_campaign=listing&amp;utm_medium=organic_search&amp;utm_source=gmb&amp;utm_content=brand" TargetMode="External" Id="rId36" /><Relationship Type="http://schemas.openxmlformats.org/officeDocument/2006/relationships/hyperlink" Target="https://www.nicksplumbing.com/?utm_source=organic&amp;utm_medium=gbp&amp;utm_campaign=local" TargetMode="External" Id="rId37" /><Relationship Type="http://schemas.openxmlformats.org/officeDocument/2006/relationships/hyperlink" Target="https://www.airtechac.com/?utm_source=google&amp;utm_medium=organic&amp;utm_campaign=gbp" TargetMode="External" Id="rId38" /><Relationship Type="http://schemas.openxmlformats.org/officeDocument/2006/relationships/hyperlink" Target="https://www.airtro.com/" TargetMode="External" Id="rId39" /><Relationship Type="http://schemas.openxmlformats.org/officeDocument/2006/relationships/hyperlink" Target="https://discovercabrillo.com/?utm_source=gmb&amp;utm_medium=organic" TargetMode="External" Id="rId40" /><Relationship Type="http://schemas.openxmlformats.org/officeDocument/2006/relationships/hyperlink" Target="https://www.magicplumbing.com/?utm_campaign=gmb&amp;utm_medium=organic&amp;utm_source=google" TargetMode="External" Id="rId41" /><Relationship Type="http://schemas.openxmlformats.org/officeDocument/2006/relationships/hyperlink" Target="https://www.heisesplumbing.com/" TargetMode="External" Id="rId42" /><Relationship Type="http://schemas.openxmlformats.org/officeDocument/2006/relationships/hyperlink" Target="https://flowmastersplumbing.com/?utm_source=organic&amp;utm_medium=gbp_listing" TargetMode="External" Id="rId43" /><Relationship Type="http://schemas.openxmlformats.org/officeDocument/2006/relationships/hyperlink" Target="https://www.calljazz.com/?utm_source=google-gbp&amp;utm_medium=organic&amp;utm_campaign=*284*jazz-heating-ac-pleasanton" TargetMode="External" Id="rId44" /><Relationship Type="http://schemas.openxmlformats.org/officeDocument/2006/relationships/hyperlink" Target="https://www.serviceexperts.com/east-bay-ca/?&amp;utm_campaign=listing&amp;utm_medium=organic_search&amp;utm_source=gmb&amp;utm_content=brand" TargetMode="External" Id="rId45" /><Relationship Type="http://schemas.openxmlformats.org/officeDocument/2006/relationships/hyperlink" Target="https://www.onehourheatandair.com/houston/?utm_source=gbp&amp;utm_medium=organic&amp;utm_campaign=638799_-OH0248-" TargetMode="External" Id="rId46" /><Relationship Type="http://schemas.openxmlformats.org/officeDocument/2006/relationships/hyperlink" Target="https://www.aireserv.com/schedule-service/?utm_source=gmb&amp;utm_medium=organic&amp;utm_campaign=google_reserve&amp;location=30026&amp;hl=en-ZA&amp;gei=tDaKaYj2HM-mhbIP54DAwAg&amp;rwg_token=AFd1xnESaj1QuzKh8Uwcn1wvLqaFE3_WuzhZl4pNAViUuc5pTUxUbAuDFXN3s4s1YFtc0u6U-mw8v2nW2fahrOnxrkiFhUXwPw%3D%3D&amp;source=cat" TargetMode="External" Id="rId47" /><Relationship Type="http://schemas.openxmlformats.org/officeDocument/2006/relationships/hyperlink" Target="https://nexgenairandplumbing.com/locations/arcadia/?utm_campaign=gmb-listing-arcadia&amp;utm_source=google&amp;utm_medium=organic" TargetMode="External" Id="rId48" /><Relationship Type="http://schemas.openxmlformats.org/officeDocument/2006/relationships/hyperlink" Target="https://www.aireserv.com/pasadena/?cid=LSTL_ASV-US000187&amp;utm_source=gmb&amp;utm_campaign=local&amp;utm_medium=organic" TargetMode="External" Id="rId49" /><Relationship Type="http://schemas.openxmlformats.org/officeDocument/2006/relationships/hyperlink" Target="https://javcoac.com/" TargetMode="External" Id="rId50" /><Relationship Type="http://schemas.openxmlformats.org/officeDocument/2006/relationships/hyperlink" Target="https://turbohomeservices.com/" TargetMode="External" Id="rId51" /><Relationship Type="http://schemas.openxmlformats.org/officeDocument/2006/relationships/hyperlink" Target="https://www.asapairhoustonac.com/" TargetMode="External" Id="rId52" /><Relationship Type="http://schemas.openxmlformats.org/officeDocument/2006/relationships/hyperlink" Target="https://www.bsiairhouston.com/" TargetMode="External" Id="rId53" /><Relationship Type="http://schemas.openxmlformats.org/officeDocument/2006/relationships/hyperlink" Target="http://masteracandheat.com/" TargetMode="External" Id="rId54" /><Relationship Type="http://schemas.openxmlformats.org/officeDocument/2006/relationships/hyperlink" Target="https://vibrantmechanical.com/" TargetMode="External" Id="rId55" /><Relationship Type="http://schemas.openxmlformats.org/officeDocument/2006/relationships/hyperlink" Target="http://www.johnmooreservices.com/" TargetMode="External" Id="rId56" /><Relationship Type="http://schemas.openxmlformats.org/officeDocument/2006/relationships/hyperlink" Target="http://www.heightsacandheating.com/" TargetMode="External" Id="rId57" /><Relationship Type="http://schemas.openxmlformats.org/officeDocument/2006/relationships/hyperlink" Target="http://www.ethanclark.com/" TargetMode="External" Id="rId58" /><Relationship Type="http://schemas.openxmlformats.org/officeDocument/2006/relationships/hyperlink" Target="http://www.bayoucityac.com/" TargetMode="External" Id="rId59" /><Relationship Type="http://schemas.openxmlformats.org/officeDocument/2006/relationships/hyperlink" Target="http://www.airteamltd.com/" TargetMode="External" Id="rId60" /><Relationship Type="http://schemas.openxmlformats.org/officeDocument/2006/relationships/hyperlink" Target="https://centralcityair.com/" TargetMode="External" Id="rId61" /><Relationship Type="http://schemas.openxmlformats.org/officeDocument/2006/relationships/hyperlink" Target="https://www.legacyacandheating.com/" TargetMode="External" Id="rId62" /><Relationship Type="http://schemas.openxmlformats.org/officeDocument/2006/relationships/hyperlink" Target="https://www.mykellysac.com/?utm_source=cumulus&amp;utm_medium=onlinepresence&amp;utm_campaign=gbp" TargetMode="External" Id="rId63" /><Relationship Type="http://schemas.openxmlformats.org/officeDocument/2006/relationships/hyperlink" Target="http://www.revairtx.com/" TargetMode="External" Id="rId64" /><Relationship Type="http://schemas.openxmlformats.org/officeDocument/2006/relationships/hyperlink" Target="https://greaterhoustonhvac.com/" TargetMode="External" Id="rId65" /><Relationship Type="http://schemas.openxmlformats.org/officeDocument/2006/relationships/hyperlink" Target="https://calllukes.com/?utm_source=google&amp;utm_medium=gbp" TargetMode="External" Id="rId66" /><Relationship Type="http://schemas.openxmlformats.org/officeDocument/2006/relationships/hyperlink" Target="https://www.airinnovationsllc.com/" TargetMode="External" Id="rId67" /><Relationship Type="http://schemas.openxmlformats.org/officeDocument/2006/relationships/hyperlink" Target="http://www.callhoustonhvac.com/" TargetMode="External" Id="rId68" /><Relationship Type="http://schemas.openxmlformats.org/officeDocument/2006/relationships/hyperlink" Target="https://usmapid.org/details/hvac-repair-champions-ChIJKZN" TargetMode="External" Id="rId69" /><Relationship Type="http://schemas.openxmlformats.org/officeDocument/2006/relationships/hyperlink" Target="https://samedayhvachayward.com/" TargetMode="External" Id="rId70" /><Relationship Type="http://schemas.openxmlformats.org/officeDocument/2006/relationships/hyperlink" Target="https://www.schmittheating.com/" TargetMode="External" Id="rId71" /><Relationship Type="http://schemas.openxmlformats.org/officeDocument/2006/relationships/hyperlink" Target="https://galaxyservices.com/" TargetMode="External" Id="rId72" /><Relationship Type="http://schemas.openxmlformats.org/officeDocument/2006/relationships/hyperlink" Target="http://atlasheat.com/" TargetMode="External" Id="rId73" /><Relationship Type="http://schemas.openxmlformats.org/officeDocument/2006/relationships/hyperlink" Target="https://fuserepairsf.com/" TargetMode="External" Id="rId74" /><Relationship Type="http://schemas.openxmlformats.org/officeDocument/2006/relationships/hyperlink" Target="http://hvac-expert-inc.com/twin-peaks/" TargetMode="External" Id="rId75" /><Relationship Type="http://schemas.openxmlformats.org/officeDocument/2006/relationships/hyperlink" Target="https://jawco.com" TargetMode="External" Id="rId76" /></Relationships>
</file>

<file path=xl/worksheets/_rels/sheet5.xml.rels><Relationships xmlns="http://schemas.openxmlformats.org/package/2006/relationships"><Relationship Type="http://schemas.openxmlformats.org/officeDocument/2006/relationships/hyperlink" Target="http://www.fandmplumbing.com/" TargetMode="External" Id="rId1" /><Relationship Type="http://schemas.openxmlformats.org/officeDocument/2006/relationships/hyperlink" Target="https://mvp-plumbing.com/?utm_source=GBP&amp;utm_medium=organic" TargetMode="External" Id="rId2" /><Relationship Type="http://schemas.openxmlformats.org/officeDocument/2006/relationships/hyperlink" Target="http://www.bubbles-plumbing.com/" TargetMode="External" Id="rId3" /><Relationship Type="http://schemas.openxmlformats.org/officeDocument/2006/relationships/hyperlink" Target="http://coastalplumberpasadena.com/" TargetMode="External" Id="rId4" /><Relationship Type="http://schemas.openxmlformats.org/officeDocument/2006/relationships/hyperlink" Target="http://nonstoplumbing.com/" TargetMode="External" Id="rId5" /><Relationship Type="http://schemas.openxmlformats.org/officeDocument/2006/relationships/hyperlink" Target="https://www.niplumbing.com/" TargetMode="External" Id="rId6" /><Relationship Type="http://schemas.openxmlformats.org/officeDocument/2006/relationships/hyperlink" Target="http://premierplumberpasadena.com/" TargetMode="External" Id="rId7" /><Relationship Type="http://schemas.openxmlformats.org/officeDocument/2006/relationships/hyperlink" Target="http://vhmplumbing.com/" TargetMode="External" Id="rId8" /><Relationship Type="http://schemas.openxmlformats.org/officeDocument/2006/relationships/hyperlink" Target="https://www.superduperpros.com/" TargetMode="External" Id="rId9" /><Relationship Type="http://schemas.openxmlformats.org/officeDocument/2006/relationships/hyperlink" Target="http://thesewerco.com/" TargetMode="External" Id="rId10" /><Relationship Type="http://schemas.openxmlformats.org/officeDocument/2006/relationships/hyperlink" Target="https://theplumbingprofessionals.com/?utm_source=google&amp;utm_medium=local&amp;utm_campaign=1&amp;utm_content=primary" TargetMode="External" Id="rId11" /><Relationship Type="http://schemas.openxmlformats.org/officeDocument/2006/relationships/hyperlink" Target="https://locksmithpasadena.club/" TargetMode="External" Id="rId12" /><Relationship Type="http://schemas.openxmlformats.org/officeDocument/2006/relationships/hyperlink" Target="http://tonytheplumbercompany.com/" TargetMode="External" Id="rId13" /><Relationship Type="http://schemas.openxmlformats.org/officeDocument/2006/relationships/hyperlink" Target="https://1dayrooterandplumbing.com/?utm_campaign=gmb" TargetMode="External" Id="rId14" /><Relationship Type="http://schemas.openxmlformats.org/officeDocument/2006/relationships/hyperlink" Target="http://www.keithleyplumbing.com/" TargetMode="External" Id="rId15" /><Relationship Type="http://schemas.openxmlformats.org/officeDocument/2006/relationships/hyperlink" Target="https://advantageplumbingrooter.com/" TargetMode="External" Id="rId16" /><Relationship Type="http://schemas.openxmlformats.org/officeDocument/2006/relationships/hyperlink" Target="https://qpplumbing.net/" TargetMode="External" Id="rId17" /><Relationship Type="http://schemas.openxmlformats.org/officeDocument/2006/relationships/hyperlink" Target="https://www.papatheplumber.com/?utm_source=gmb&amp;utm_medium=referral" TargetMode="External" Id="rId18" /><Relationship Type="http://schemas.openxmlformats.org/officeDocument/2006/relationships/hyperlink" Target="https://www.mypwo.com/" TargetMode="External" Id="rId19" /><Relationship Type="http://schemas.openxmlformats.org/officeDocument/2006/relationships/hyperlink" Target="http://www.sierrapacificplumbing.com/" TargetMode="External" Id="rId20" /><Relationship Type="http://schemas.openxmlformats.org/officeDocument/2006/relationships/hyperlink" Target="http://www.freeflorooter.com/" TargetMode="External" Id="rId21" /><Relationship Type="http://schemas.openxmlformats.org/officeDocument/2006/relationships/hyperlink" Target="http://cappelloplumbing.com/" TargetMode="External" Id="rId22" /><Relationship Type="http://schemas.openxmlformats.org/officeDocument/2006/relationships/hyperlink" Target="https://www.redlillyplumbing.com/" TargetMode="External" Id="rId23" /></Relationships>
</file>

<file path=xl/worksheets/sheet1.xml><?xml version="1.0" encoding="utf-8"?>
<worksheet xmlns="http://schemas.openxmlformats.org/spreadsheetml/2006/main">
  <sheetPr>
    <outlinePr summaryBelow="0" summaryRight="0"/>
    <pageSetUpPr/>
  </sheetPr>
  <dimension ref="A1:N63"/>
  <sheetViews>
    <sheetView workbookViewId="0">
      <selection activeCell="A1" sqref="A1"/>
    </sheetView>
  </sheetViews>
  <sheetFormatPr baseColWidth="8" defaultColWidth="12.63" defaultRowHeight="15" customHeight="1"/>
  <cols>
    <col width="12.63" customWidth="1" style="48" min="1" max="6"/>
  </cols>
  <sheetData>
    <row r="1" ht="15.75" customHeight="1" s="48">
      <c r="A1" s="1" t="inlineStr">
        <is>
          <t>OSrXXb</t>
        </is>
      </c>
      <c r="B1" s="1" t="inlineStr">
        <is>
          <t>yi40Hd</t>
        </is>
      </c>
      <c r="C1" s="1" t="inlineStr">
        <is>
          <t>RDApEe</t>
        </is>
      </c>
      <c r="D1" s="1" t="inlineStr">
        <is>
          <t>rllt__details 2</t>
        </is>
      </c>
      <c r="E1" s="1" t="inlineStr">
        <is>
          <t>rllt__details 3</t>
        </is>
      </c>
      <c r="F1" s="1" t="inlineStr">
        <is>
          <t>rllt__details 4</t>
        </is>
      </c>
      <c r="G1" s="1" t="inlineStr">
        <is>
          <t>uDyWh</t>
        </is>
      </c>
      <c r="H1" s="1" t="inlineStr">
        <is>
          <t>uDyWh 2</t>
        </is>
      </c>
      <c r="I1" s="1" t="inlineStr">
        <is>
          <t>pYH8Dd href</t>
        </is>
      </c>
      <c r="J1" s="1" t="inlineStr">
        <is>
          <t>QuU3Wb</t>
        </is>
      </c>
      <c r="K1" s="1" t="inlineStr">
        <is>
          <t>yYlJEf href</t>
        </is>
      </c>
      <c r="L1" s="1" t="inlineStr">
        <is>
          <t>yYlJEf href 2</t>
        </is>
      </c>
      <c r="M1" s="1" t="inlineStr">
        <is>
          <t>QuU3Wb 3</t>
        </is>
      </c>
      <c r="N1" s="1" t="inlineStr">
        <is>
          <t>rllt__details 5</t>
        </is>
      </c>
    </row>
    <row r="2" ht="15.75" customHeight="1" s="48">
      <c r="A2" s="1" t="inlineStr">
        <is>
          <t>Air Tech of Houston AC &amp; Plumbing</t>
        </is>
      </c>
      <c r="B2" s="1" t="inlineStr">
        <is>
          <t>4,9</t>
        </is>
      </c>
      <c r="C2" s="1" t="inlineStr">
        <is>
          <t>(5,6K)</t>
        </is>
      </c>
      <c r="D2" s="1" t="inlineStr">
        <is>
          <t>40+ years in business · Houston, TX, United States</t>
        </is>
      </c>
      <c r="E2" s="1" t="inlineStr">
        <is>
          <t>· +1 832-680-5546</t>
        </is>
      </c>
      <c r="F2" s="1" t="inlineStr">
        <is>
          <t>Open 24 hours</t>
        </is>
      </c>
      <c r="G2" s="1" t="inlineStr">
        <is>
          <t>"They came out on short notice to  my AC and get it up and running."</t>
        </is>
      </c>
      <c r="H2" s="1" t="inlineStr">
        <is>
          <t>repair</t>
        </is>
      </c>
      <c r="I2" s="2" t="inlineStr">
        <is>
          <t>https://book.servicetitan.com/ndwswgk0plrubsfqw9bjtkuh?hl=en-ZA&amp;gei=tDaKaYj2HM-mhbIP54DAwAg&amp;rwg_token=AFd1xnHO75h43iwIQ8roBM_AwQc9nNtgC1ECKyjKXXDiemXySOiiIVPgyJZaPaTEVArJQofEUZZIeY3T3_1uQopsc-YBFcIJrQ%3D%3D&amp;source=cat</t>
        </is>
      </c>
      <c r="J2" s="1" t="inlineStr">
        <is>
          <t>Schedule</t>
        </is>
      </c>
      <c r="K2" s="2" t="inlineStr">
        <is>
          <t>https://www.airtechofhouston.com/locations/houston-tx/?utm_source=google-gbp&amp;utm_medium=organic&amp;utm_campaign=*19*air-tech-houston</t>
        </is>
      </c>
      <c r="L2" s="2" t="inlineStr">
        <is>
          <t>https://www.google.com/maps/dir//Air+Tech+of+Houston+AC+%26+Plumbing,+2114+Lou+Ellen+Ln,+Houston,+TX+77018,+United+States/data=!4m6!4m5!1m1!4e2!1m2!1m1!1s0x8640c6550750ea9d:0xe40fea0d73798ecb?sa=X&amp;ved=1t:57443&amp;ictx=111</t>
        </is>
      </c>
      <c r="M2" s="1" t="inlineStr">
        <is>
          <t>Directions</t>
        </is>
      </c>
    </row>
    <row r="3" ht="15.75" customHeight="1" s="48">
      <c r="A3" s="1" t="inlineStr">
        <is>
          <t>Mission Air Conditioning &amp; Plumbing</t>
        </is>
      </c>
      <c r="B3" s="1" t="inlineStr">
        <is>
          <t>4,8</t>
        </is>
      </c>
      <c r="C3" s="1" t="inlineStr">
        <is>
          <t>(2,8K)</t>
        </is>
      </c>
      <c r="D3" s="1" t="inlineStr">
        <is>
          <t>10+ years in business · Houston, TX, United States</t>
        </is>
      </c>
      <c r="E3" s="1" t="inlineStr">
        <is>
          <t>· +1 281-502-2062</t>
        </is>
      </c>
      <c r="F3" s="1" t="inlineStr">
        <is>
          <t>Open</t>
        </is>
      </c>
      <c r="G3" s="1" t="inlineStr">
        <is>
          <t>"Phoned up and had technician out within 3 hours to a broken AC."</t>
        </is>
      </c>
      <c r="I3" s="2" t="inlineStr">
        <is>
          <t>https://book.servicetitan.com/yx3m19hcyhwunxlqaet704jt?hl=en-ZA&amp;gei=tDaKaYj2HM-mhbIP54DAwAg&amp;rwg_token=AFd1xnHOQay0aWSDkWNPy-IC5OFnoK6tlKiXfzFumXw7UcWq5P_KNOWD3NNqrRwhoGcWaSdYZsx-6TX0Euz88d2T-PsDyvBN5w%3D%3D&amp;source=cat</t>
        </is>
      </c>
      <c r="J3" s="1" t="inlineStr">
        <is>
          <t>Schedule</t>
        </is>
      </c>
      <c r="K3" s="2" t="inlineStr">
        <is>
          <t>https://www.missionac.com/locations/houston-tx/?utm_source=google&amp;utm_medium=organic&amp;utm_campaign=gbp</t>
        </is>
      </c>
      <c r="L3" s="2" t="inlineStr">
        <is>
          <t>https://www.google.com/maps/dir//Mission+Air+Conditioning+%26+Plumbing,+1630+Elmview+Dr,+Houston,+TX+77080,+United+States/data=!4m6!4m5!1m1!4e2!1m2!1m1!1s0x8640c7b2796e3c3b:0xd27e76550a3912dc?sa=X&amp;ved=1t:57443&amp;ictx=111</t>
        </is>
      </c>
      <c r="M3" s="1" t="inlineStr">
        <is>
          <t>Directions</t>
        </is>
      </c>
      <c r="N3" s="1" t="inlineStr">
        <is>
          <t>· Closes 7 pm</t>
        </is>
      </c>
    </row>
    <row r="4" ht="15.75" customHeight="1" s="48">
      <c r="A4" s="1" t="inlineStr">
        <is>
          <t>One Hour Air Conditioning &amp; Heating® of Houston</t>
        </is>
      </c>
      <c r="B4" s="1" t="inlineStr">
        <is>
          <t>4,7</t>
        </is>
      </c>
      <c r="C4" s="1" t="inlineStr">
        <is>
          <t>(9,9K)</t>
        </is>
      </c>
      <c r="D4" s="1" t="inlineStr">
        <is>
          <t>55+ years in business · Houston, TX, United States</t>
        </is>
      </c>
      <c r="E4" s="1" t="inlineStr">
        <is>
          <t>· +1 281-407-9754</t>
        </is>
      </c>
      <c r="F4" s="1" t="inlineStr">
        <is>
          <t>Open 24 hours</t>
        </is>
      </c>
      <c r="G4" s="1" t="inlineStr">
        <is>
          <t>"Chris was able to fix my AC quickly and at a very reasonable price!"</t>
        </is>
      </c>
      <c r="I4" s="2" t="inlineStr">
        <is>
          <t>https://book.servicetitan.com/oucw9t8jk30lfx0eybjbyq94?hl=en-ZA&amp;gei=tDaKaYj2HM-mhbIP54DAwAg&amp;rwg_token=AFd1xnHxqTDlHvavEYASVZXdJQhJEgYNtz66ReKjVzuvSM-KDfDUDaNPDmD3HQE4gM0NT1VbyiGgzb62cV1ZptMJhR4wiwTk1A%3D%3D&amp;source=cat</t>
        </is>
      </c>
      <c r="J4" s="1" t="inlineStr">
        <is>
          <t>Schedule</t>
        </is>
      </c>
      <c r="K4" s="2" t="inlineStr">
        <is>
          <t>https://www.onehourheatandair.com/houston/?utm_source=gbp&amp;utm_medium=organic&amp;utm_campaign=638799_-OH0248-</t>
        </is>
      </c>
      <c r="L4" s="2" t="inlineStr">
        <is>
          <t>https://www.google.com/maps/dir//One+Hour+Air+Conditioning+%26+Heating%C2%AE+of+Houston,+4455+W+Sam+Houston+Pkwy+N,+Houston,+TX+77041,+United+States/data=!4m6!4m5!1m1!4e2!1m2!1m1!1s0x8640d0724bb1a283:0x93f6375762d135a2?sa=X&amp;ved=1t:57443&amp;ictx=111</t>
        </is>
      </c>
      <c r="M4" s="1" t="inlineStr">
        <is>
          <t>Directions</t>
        </is>
      </c>
    </row>
    <row r="5" ht="15.75" customHeight="1" s="48">
      <c r="A5" s="1" t="inlineStr">
        <is>
          <t>Cool Care Heating and Air Conditioning</t>
        </is>
      </c>
      <c r="B5" s="1" t="inlineStr">
        <is>
          <t>5,0</t>
        </is>
      </c>
      <c r="C5" s="1" t="n">
        <v>-331</v>
      </c>
      <c r="D5" s="1" t="inlineStr">
        <is>
          <t>10+ years in business · Houston, TX, United States</t>
        </is>
      </c>
      <c r="E5" s="1" t="inlineStr">
        <is>
          <t>· +1 713-979-5132</t>
        </is>
      </c>
      <c r="F5" s="1" t="inlineStr">
        <is>
          <t>Open</t>
        </is>
      </c>
      <c r="G5" s="1" t="inlineStr">
        <is>
          <t>"The tech was right on time and quickly identified the issue."</t>
        </is>
      </c>
      <c r="K5" s="2" t="inlineStr">
        <is>
          <t>https://www.coolcareac.com/?utm_source=gbp&amp;utm_medium=organic</t>
        </is>
      </c>
      <c r="L5" s="2" t="inlineStr">
        <is>
          <t>https://www.google.com/maps/dir//Cool+Care+Heating+and+Air+Conditioning,+2015+Bauer+Dr,+Houston,+TX+77080,+United+States/data=!4m6!4m5!1m1!4e2!1m2!1m1!1s0x8640db2b99be8955:0xe07c491b25c79dba?sa=X&amp;ved=1t:57443&amp;ictx=111</t>
        </is>
      </c>
      <c r="M5" s="1" t="inlineStr">
        <is>
          <t>Directions</t>
        </is>
      </c>
      <c r="N5" s="1" t="inlineStr">
        <is>
          <t>· Closes 8 pm</t>
        </is>
      </c>
    </row>
    <row r="6" ht="15.75" customHeight="1" s="48">
      <c r="A6" s="1" t="inlineStr">
        <is>
          <t>H-Town AC Repair HVAC services Houston</t>
        </is>
      </c>
      <c r="B6" s="1" t="inlineStr">
        <is>
          <t>4,8</t>
        </is>
      </c>
      <c r="C6" s="1" t="n">
        <v>-252</v>
      </c>
      <c r="D6" s="1" t="inlineStr">
        <is>
          <t>10+ years in business · Houston, TX, United States</t>
        </is>
      </c>
      <c r="E6" s="1" t="inlineStr">
        <is>
          <t>· +1 832-404-2062</t>
        </is>
      </c>
      <c r="F6" s="1" t="inlineStr">
        <is>
          <t>Open</t>
        </is>
      </c>
      <c r="G6" s="1" t="inlineStr">
        <is>
          <t>"Fixing the  component of my AC very quickly and with great price."</t>
        </is>
      </c>
      <c r="H6" s="1" t="inlineStr">
        <is>
          <t>heating</t>
        </is>
      </c>
      <c r="K6" s="2" t="inlineStr">
        <is>
          <t>https://htownacrepair.com/</t>
        </is>
      </c>
      <c r="L6" s="2" t="inlineStr">
        <is>
          <t>https://www.google.com/maps/dir//H-Town+AC+Repair+HVAC+services+Houston,+4243+Purdue+St+A,+Houston,+TX+77005,+United+States/data=!4m6!4m5!1m1!4e2!1m2!1m1!1s0x8640bf9a7dfcc61d:0xb12f9248118802c4?sa=X&amp;ved=1t:57443&amp;ictx=111</t>
        </is>
      </c>
      <c r="M6" s="1" t="inlineStr">
        <is>
          <t>Directions</t>
        </is>
      </c>
      <c r="N6" s="1" t="inlineStr">
        <is>
          <t>· Closes 7 pm</t>
        </is>
      </c>
    </row>
    <row r="7" ht="15.75" customHeight="1" s="48">
      <c r="A7" s="1" t="inlineStr">
        <is>
          <t>Bellaire Air Conditioning</t>
        </is>
      </c>
      <c r="B7" s="1" t="inlineStr">
        <is>
          <t>4,9</t>
        </is>
      </c>
      <c r="C7" s="1" t="n">
        <v>-459</v>
      </c>
      <c r="D7" s="1" t="inlineStr">
        <is>
          <t>55+ years in business · Houston, TX, United States</t>
        </is>
      </c>
      <c r="E7" s="1" t="inlineStr">
        <is>
          <t>· +1 713-428-2279</t>
        </is>
      </c>
      <c r="F7" s="1" t="inlineStr">
        <is>
          <t>Open 24 hours</t>
        </is>
      </c>
      <c r="G7" s="1" t="inlineStr">
        <is>
          <t>"Ronnie came and serviced my a/c and had it back up and running in no time!!!"</t>
        </is>
      </c>
      <c r="K7" s="2" t="inlineStr">
        <is>
          <t>https://www.bellaireair.com/?utm_source=google&amp;utm_medium=organic&amp;utm_term=gbp</t>
        </is>
      </c>
      <c r="L7" s="2" t="inlineStr">
        <is>
          <t>https://www.google.com/maps/dir//Bellaire+Air+Conditioning,+5414+Ashbrook+Dr,+Houston,+TX+77081,+United+States/data=!4m6!4m5!1m1!4e2!1m2!1m1!1s0x8640c23d7055ea11:0x6156bd4e5c0e8a8e?sa=X&amp;ved=1t:57443&amp;ictx=111</t>
        </is>
      </c>
      <c r="M7" s="1" t="inlineStr">
        <is>
          <t>Directions</t>
        </is>
      </c>
    </row>
    <row r="8" ht="15.75" customHeight="1" s="48">
      <c r="A8" s="1" t="inlineStr">
        <is>
          <t>Uptown Heating &amp; Air Conditioning</t>
        </is>
      </c>
      <c r="B8" s="1" t="inlineStr">
        <is>
          <t>4,8</t>
        </is>
      </c>
      <c r="C8" s="1" t="inlineStr">
        <is>
          <t>(2,4K)</t>
        </is>
      </c>
      <c r="D8" s="1" t="inlineStr">
        <is>
          <t>20+ years in business · Houston, TX, United States</t>
        </is>
      </c>
      <c r="E8" s="1" t="inlineStr">
        <is>
          <t>· +1 832-709-0236</t>
        </is>
      </c>
      <c r="F8" s="1" t="inlineStr">
        <is>
          <t>Open</t>
        </is>
      </c>
      <c r="G8" s="1" t="inlineStr">
        <is>
          <t>"Hector came and fixed our ac problem in seconds, we were melting before that"</t>
        </is>
      </c>
      <c r="I8" s="2" t="inlineStr">
        <is>
          <t>https://book.housecallpro.com/book/Uptown-Heating--Air-Conditioning/71ca9bbb24d1492f91638e1389575439?v2=true&amp;lead_source=google&amp;merchant_id=fa54d708-9c6f-4c50-9c7e-52f98f7797a4&amp;hl=en-ZA&amp;gei=tDaKaYj2HM-mhbIP54DAwAg&amp;rwg_token=AFd1xnGpCnBrNXGQiel04NX6UWg8qkuZkMLisk76YZ9t6e71tcd5QnlQSS0AT54Vk-x_dcSABDXy-nP7Oil1vZuqjdnyzkfCrQ%3D%3D&amp;source=cat</t>
        </is>
      </c>
      <c r="J8" s="1" t="inlineStr">
        <is>
          <t>Schedule</t>
        </is>
      </c>
      <c r="K8" s="2" t="inlineStr">
        <is>
          <t>https://www.uptownac.com/</t>
        </is>
      </c>
      <c r="L8" s="2" t="inlineStr">
        <is>
          <t>https://www.google.com/maps/dir//Uptown+Heating+%26+Air+Conditioning,+11211+Richmond+Ave.+Suite+B102,+Houston,+TX+77082,+United+States/data=!4m6!4m5!1m1!4e2!1m2!1m1!1s0x8640daaa48c80277:0x58e1c3d77bdd2965?sa=X&amp;ved=1t:57443&amp;ictx=111</t>
        </is>
      </c>
      <c r="M8" s="1" t="inlineStr">
        <is>
          <t>Directions</t>
        </is>
      </c>
      <c r="N8" s="1" t="inlineStr">
        <is>
          <t>· Closes 7 pm</t>
        </is>
      </c>
    </row>
    <row r="9" ht="15.75" customHeight="1" s="48">
      <c r="A9" s="1" t="inlineStr">
        <is>
          <t>Ace Comfort Air Conditioning &amp; Heating</t>
        </is>
      </c>
      <c r="B9" s="1" t="inlineStr">
        <is>
          <t>4,9</t>
        </is>
      </c>
      <c r="C9" s="1" t="n">
        <v>-176</v>
      </c>
      <c r="D9" s="1" t="inlineStr">
        <is>
          <t>10+ years in business · Houston, TX, United States</t>
        </is>
      </c>
      <c r="E9" s="1" t="inlineStr">
        <is>
          <t>· +1 281-658-5141</t>
        </is>
      </c>
      <c r="F9" s="1" t="inlineStr">
        <is>
          <t>Open 24 hours</t>
        </is>
      </c>
      <c r="G9" s="1" t="inlineStr">
        <is>
          <t>"Tech came out on time and fixed the  system I about 30mins."</t>
        </is>
      </c>
      <c r="H9" s="1" t="inlineStr">
        <is>
          <t>air conditioning</t>
        </is>
      </c>
      <c r="I9" s="2" t="inlineStr">
        <is>
          <t>https://book.housecallpro.com/book/Ace-Comfort-Air-Conditioning--Heating-LLC/b332c3320d634dda91dc983f29e6e26b?v2=true&amp;lead_source=google&amp;merchant_id=5db04b9c-7240-4c8f-8f1e-c5bba10030c2&amp;hl=en-ZA&amp;gei=tDaKaYj2HM-mhbIP54DAwAg&amp;rwg_token=AFd1xnFQL65iXB_Vo6ke4H5kUXIphXNQC1JEcXVule6XFXuuwO5Y4tfn644p1cbyCcdCsfU741gFAGbOq-NdiuWtwB1LW8wolQ%3D%3D&amp;source=cat</t>
        </is>
      </c>
      <c r="J9" s="1" t="inlineStr">
        <is>
          <t>Schedule</t>
        </is>
      </c>
      <c r="K9" s="2" t="inlineStr">
        <is>
          <t>http://www.acecomfort-tx.com/</t>
        </is>
      </c>
      <c r="L9" s="2" t="inlineStr">
        <is>
          <t>https://www.google.com/maps/dir//Ace+Comfort+Air+Conditioning+%26+Heating,+601+Milwaukee+St,+Houston,+TX+77009,+United+States/data=!4m6!4m5!1m1!4e2!1m2!1m1!1s0x4f92696cded9f175:0xc9ae35805f8c328f?sa=X&amp;ved=1t:57443&amp;ictx=111</t>
        </is>
      </c>
      <c r="M9" s="1" t="inlineStr">
        <is>
          <t>Directions</t>
        </is>
      </c>
    </row>
    <row r="10" ht="15.75" customHeight="1" s="48">
      <c r="A10" s="1" t="inlineStr">
        <is>
          <t>Dave Lane's Hi-Tech Mechanical Inc.</t>
        </is>
      </c>
      <c r="B10" s="1" t="inlineStr">
        <is>
          <t>4,9</t>
        </is>
      </c>
      <c r="C10" s="1" t="inlineStr">
        <is>
          <t>(1K)</t>
        </is>
      </c>
      <c r="D10" s="1" t="inlineStr">
        <is>
          <t>45+ years in business · Houston, TX, United States</t>
        </is>
      </c>
      <c r="E10" s="1" t="inlineStr">
        <is>
          <t>· +1 713-960-4269</t>
        </is>
      </c>
      <c r="F10" s="1" t="inlineStr">
        <is>
          <t>Open</t>
        </is>
      </c>
      <c r="G10" s="1" t="inlineStr">
        <is>
          <t>"He was in and out in a timely manner with my AC functioning properly."</t>
        </is>
      </c>
      <c r="K10" s="2" t="inlineStr">
        <is>
          <t>http://www.davelaneair.com/</t>
        </is>
      </c>
      <c r="L10" s="2" t="inlineStr">
        <is>
          <t>https://www.google.com/maps/dir//Dave+Lane's+Hi-Tech+Mechanical+Inc.,+15825+TX-249+Ste+15,+Houston,+TX+77086,+United+States/data=!4m6!4m5!1m1!4e2!1m2!1m1!1s0x8640cf5e823eb8b1:0xad12932e49313438?sa=X&amp;ved=1t:57443&amp;ictx=111</t>
        </is>
      </c>
      <c r="M10" s="1" t="inlineStr">
        <is>
          <t>Directions</t>
        </is>
      </c>
      <c r="N10" s="1" t="inlineStr">
        <is>
          <t>· Closes 7 pm</t>
        </is>
      </c>
    </row>
    <row r="11" ht="15.75" customHeight="1" s="48">
      <c r="A11" s="1" t="inlineStr">
        <is>
          <t>Air Tech of Humble - Elite Comfort</t>
        </is>
      </c>
      <c r="B11" s="1" t="inlineStr">
        <is>
          <t>4,9</t>
        </is>
      </c>
      <c r="C11" s="1" t="inlineStr">
        <is>
          <t>(2,9K)</t>
        </is>
      </c>
      <c r="D11" s="1" t="inlineStr">
        <is>
          <t>10+ years in business · Humble, TX, United States</t>
        </is>
      </c>
      <c r="E11" s="1" t="inlineStr">
        <is>
          <t>· +1 346-236-1240</t>
        </is>
      </c>
      <c r="F11" s="1" t="inlineStr">
        <is>
          <t>Open 24 hours</t>
        </is>
      </c>
      <c r="G11" s="1" t="inlineStr">
        <is>
          <t>"Came out on a Sunday and resolved my ac problem within an hour."</t>
        </is>
      </c>
      <c r="I11" s="2" t="inlineStr">
        <is>
          <t>https://book.servicetitan.com/nl4yqvik8kc5q9uixfvam3zm?hl=en-ZA&amp;gei=tDaKaYj2HM-mhbIP54DAwAg&amp;rwg_token=AFd1xnFLT_KDok-LJP341qy1TdKlsIChIOLQampZKt45OQrtPEPWx0yT5IerPQdnCsAEdA-fgs5K0Cla5X0hsuAy1e1e8b41zw%3D%3D&amp;source=cat</t>
        </is>
      </c>
      <c r="J11" s="1" t="inlineStr">
        <is>
          <t>Schedule</t>
        </is>
      </c>
      <c r="K11" s="2" t="inlineStr">
        <is>
          <t>https://www.airtechofhumble.com/locations/humble-tx/?utm_source=google-gbp&amp;utm_medium=organic&amp;utm_campaign=*20*air-tech-humble</t>
        </is>
      </c>
      <c r="L11" s="2" t="inlineStr">
        <is>
          <t>https://www.google.com/maps/dir//Air+Tech+of+Humble+-+Elite+Comfort,+1710+1st+St+E,+Humble,+TX+77338,+United+States/data=!4m6!4m5!1m1!4e2!1m2!1m1!1s0x8640b2bf3899cc27:0xc272011de9a7f90a?sa=X&amp;ved=1t:57443&amp;ictx=111</t>
        </is>
      </c>
      <c r="M11" s="1" t="inlineStr">
        <is>
          <t>Directions</t>
        </is>
      </c>
    </row>
    <row r="12" ht="15.75" customHeight="1" s="48">
      <c r="A12" s="1" t="inlineStr">
        <is>
          <t>Be Cool AC &amp; Heating</t>
        </is>
      </c>
      <c r="B12" s="1" t="inlineStr">
        <is>
          <t>5,0</t>
        </is>
      </c>
      <c r="C12" s="1" t="n">
        <v>-566</v>
      </c>
      <c r="D12" s="1" t="inlineStr">
        <is>
          <t>7+ years in business · Houston, TX, United States</t>
        </is>
      </c>
      <c r="E12" s="1" t="inlineStr">
        <is>
          <t>· +1 832-906-6113</t>
        </is>
      </c>
      <c r="F12" s="1" t="inlineStr">
        <is>
          <t>Open</t>
        </is>
      </c>
      <c r="G12" s="1" t="inlineStr">
        <is>
          <t>"On time, professional, friendly and fixed our AC issue quickly."</t>
        </is>
      </c>
      <c r="I12" s="2" t="inlineStr">
        <is>
          <t>https://book.housecallpro.com/book/Be-Cool-AC--Heating/255cf6683249459c991100fb3caf83c4?v2=true&amp;lead_source=google&amp;merchant_id=1b182ced-e379-4797-8a1c-6eb15204a02f&amp;hl=en-ZA&amp;gei=tDaKaYj2HM-mhbIP54DAwAg&amp;rwg_token=AFd1xnEK-rmvUV6-iREpf_8AoMPq7Us1ISMAZiKEp4A3lNc2s_Bv7uaTbrrSyMkICxKWDRYQKcZqOafTgZfauN5acaW9T0UtxQ%3D%3D&amp;source=cat</t>
        </is>
      </c>
      <c r="J12" s="1" t="inlineStr">
        <is>
          <t>Schedule</t>
        </is>
      </c>
      <c r="K12" s="2" t="inlineStr">
        <is>
          <t>https://becoolachouston.com/?utm_source=google&amp;utm_medium=organic&amp;utm_campaign=gbp-listing</t>
        </is>
      </c>
      <c r="L12" s="2" t="inlineStr">
        <is>
          <t>https://www.google.com/maps/dir//Be+Cool+AC+%26+Heating,+7710+Cherry+Park+Dr+Ste+T418,+Houston,+TX+77095,+United+States/data=!4m6!4m5!1m1!4e2!1m2!1m1!1s0x8640d0e12bd08267:0x154f35d6d0aab7c7?sa=X&amp;ved=1t:57443&amp;ictx=111</t>
        </is>
      </c>
      <c r="M12" s="1" t="inlineStr">
        <is>
          <t>Directions</t>
        </is>
      </c>
      <c r="N12" s="1" t="inlineStr">
        <is>
          <t>· Closes 6 pm</t>
        </is>
      </c>
    </row>
    <row r="13" ht="15.75" customHeight="1" s="48">
      <c r="A13" s="1" t="inlineStr">
        <is>
          <t>Air Specialist Air Conditioning &amp; Plumbing</t>
        </is>
      </c>
      <c r="B13" s="1" t="inlineStr">
        <is>
          <t>4,8</t>
        </is>
      </c>
      <c r="C13" s="1" t="inlineStr">
        <is>
          <t>(3,7K)</t>
        </is>
      </c>
      <c r="D13" s="1" t="inlineStr">
        <is>
          <t>55+ years in business · Pearland, TX, United States</t>
        </is>
      </c>
      <c r="E13" s="1" t="inlineStr">
        <is>
          <t>· +1 713-469-3443</t>
        </is>
      </c>
      <c r="F13" s="1" t="inlineStr">
        <is>
          <t>Open</t>
        </is>
      </c>
      <c r="G13" s="1" t="inlineStr">
        <is>
          <t>"My ac was up and running within an hour working good as new."</t>
        </is>
      </c>
      <c r="I13" s="2" t="inlineStr">
        <is>
          <t>https://book.servicetitan.com/pyjdb2h9efer6pdw3zcvyxvg?hl=en-ZA&amp;gei=tDaKaYj2HM-mhbIP54DAwAg&amp;rwg_token=AFd1xnFaw3px9nYNjw10cwmypoe03TWM0UxSJxUCs7rZZJn5YGTkmwm_Z8fpjsE4WIv6I8bFqIy-Pvu6eaq5UCqtnIsgWlxJUQ%3D%3D&amp;source=cat</t>
        </is>
      </c>
      <c r="J13" s="1" t="inlineStr">
        <is>
          <t>Schedule</t>
        </is>
      </c>
      <c r="K13" s="2" t="inlineStr">
        <is>
          <t>https://www.airspecialist.com/?utm_campaign=Google+My+Business&amp;utm_source=GMB&amp;utm_medium=organic&amp;utm_content=Website</t>
        </is>
      </c>
      <c r="L13" s="2" t="inlineStr">
        <is>
          <t>https://www.google.com/maps/dir//Air+Specialist+Air+Conditioning+%26+Plumbing,+1323+N+Main+St,+Pearland,+TX+77581,+United+States/data=!4m6!4m5!1m1!4e2!1m2!1m1!1s0x8640913462c48271:0x13d6c07037b42152?sa=X&amp;ved=1t:57443&amp;ictx=111</t>
        </is>
      </c>
      <c r="M13" s="1" t="inlineStr">
        <is>
          <t>Directions</t>
        </is>
      </c>
      <c r="N13" s="1" t="inlineStr">
        <is>
          <t>· Closes 9 pm</t>
        </is>
      </c>
    </row>
    <row r="14" ht="15.75" customHeight="1" s="48">
      <c r="A14" s="1" t="inlineStr">
        <is>
          <t>Abacus Plumbing, Air Conditioning, &amp; Electrical</t>
        </is>
      </c>
      <c r="B14" s="1" t="inlineStr">
        <is>
          <t>4,7</t>
        </is>
      </c>
      <c r="C14" s="1" t="inlineStr">
        <is>
          <t>(12K)</t>
        </is>
      </c>
      <c r="D14" s="1" t="inlineStr">
        <is>
          <t>20+ years in business · Houston, TX, United States</t>
        </is>
      </c>
      <c r="E14" s="1" t="inlineStr">
        <is>
          <t>· +1 713-812-7070</t>
        </is>
      </c>
      <c r="F14" s="1" t="inlineStr">
        <is>
          <t>Open 24 hours</t>
        </is>
      </c>
      <c r="G14" s="1" t="inlineStr">
        <is>
          <t>"They were very professional and fixed my AC in less than an hour."</t>
        </is>
      </c>
      <c r="I14" s="2" t="inlineStr">
        <is>
          <t>https://book.servicetitan.com/f0n1ouzidof1hhqltz8mt1wv?hl=en-ZA&amp;gei=tDaKaYj2HM-mhbIP54DAwAg&amp;rwg_token=AFd1xnE_jdOZSrQYl4fv-bEhkiz2kSKYR_0KTCzrNYCzKg4uLaN43CL8sTPPsxrX3SCuXgALinXYprZO8UpiDZAno6QLuCcgow%3D%3D&amp;source=cat</t>
        </is>
      </c>
      <c r="J14" s="1" t="inlineStr">
        <is>
          <t>Schedule</t>
        </is>
      </c>
      <c r="K14" s="2" t="inlineStr">
        <is>
          <t>https://www.abacusplumbing.net/?utm_campaign=gmb_ab-hou_home_everyone_gmb-houston&amp;utm_medium=gmb&amp;utm_source=google</t>
        </is>
      </c>
      <c r="L14" s="2" t="inlineStr">
        <is>
          <t>https://www.google.com/maps/dir//Abacus+Plumbing,+Air+Conditioning,+%26+Electrical,+4001+Kendrick+Plaza+Dr,+Houston,+TX+77032,+United+States/data=!4m6!4m5!1m1!4e2!1m2!1m1!1s0x8640c5d54b35a963:0xde884c48d45e5c38?sa=X&amp;ved=1t:57443&amp;ictx=111</t>
        </is>
      </c>
      <c r="M14" s="1" t="inlineStr">
        <is>
          <t>Directions</t>
        </is>
      </c>
    </row>
    <row r="15" ht="15.75" customHeight="1" s="48">
      <c r="A15" s="1" t="inlineStr">
        <is>
          <t>Just-N-Time AC and Heating</t>
        </is>
      </c>
      <c r="B15" s="1" t="inlineStr">
        <is>
          <t>4,9</t>
        </is>
      </c>
      <c r="C15" s="1" t="n">
        <v>-400</v>
      </c>
      <c r="D15" s="1" t="inlineStr">
        <is>
          <t>5+ years in business · Houston, TX, United States</t>
        </is>
      </c>
      <c r="E15" s="1" t="inlineStr">
        <is>
          <t>· +1 281-908-4602</t>
        </is>
      </c>
      <c r="F15" s="1" t="inlineStr">
        <is>
          <t>Open</t>
        </is>
      </c>
      <c r="G15" s="1" t="inlineStr">
        <is>
          <t>"Diagnosed and fixed my a/c in 30 minutes."</t>
        </is>
      </c>
      <c r="I15" s="2" t="inlineStr">
        <is>
          <t>https://book.housecallpro.com/book/Just-N-Time-Air-Condition-and-Heating/44beadb58f6448c28dc03f9229545e06?v2=true&amp;lead_source=google&amp;merchant_id=43988923-28e7-4d3a-b936-a20e6019d19f&amp;hl=en-ZA&amp;gei=tDaKaYj2HM-mhbIP54DAwAg&amp;rwg_token=AFd1xnGJFjzCM-NAB2aH4EvCtgcubnmSGtH3HT9g8-vFmk0gc2XlrJSxCdNIMiigRTwqv6C8qRqOqASStF2rfpqx6lcprKyHCw%3D%3D&amp;source=cat</t>
        </is>
      </c>
      <c r="J15" s="1" t="inlineStr">
        <is>
          <t>Schedule</t>
        </is>
      </c>
      <c r="K15" s="2" t="inlineStr">
        <is>
          <t>https://www.justintimeaircondition.com/?utm_source=google&amp;utm_medium=business_profile&amp;utm_campaign=website</t>
        </is>
      </c>
      <c r="L15" s="2" t="inlineStr">
        <is>
          <t>https://www.google.com/maps/dir//Just-N-Time+AC+and+Heating,+2219+W+34th+St+%23+A1,+Houston,+TX+77018,+United+States/data=!4m6!4m5!1m1!4e2!1m2!1m1!1s0x8640c76264b44ec1:0x4642eb17dbc7e102?sa=X&amp;ved=1t:57443&amp;ictx=111</t>
        </is>
      </c>
      <c r="M15" s="1" t="inlineStr">
        <is>
          <t>Directions</t>
        </is>
      </c>
      <c r="N15" s="1" t="inlineStr">
        <is>
          <t>· Closes 9 pm</t>
        </is>
      </c>
    </row>
    <row r="16" ht="15.75" customHeight="1" s="48">
      <c r="A16" s="1" t="inlineStr">
        <is>
          <t>75 Degree AC- Houston</t>
        </is>
      </c>
      <c r="B16" s="1" t="inlineStr">
        <is>
          <t>5,0</t>
        </is>
      </c>
      <c r="C16" s="1" t="n">
        <v>-216</v>
      </c>
      <c r="D16" s="1" t="inlineStr">
        <is>
          <t>10+ years in business · Houston, TX, United States</t>
        </is>
      </c>
      <c r="E16" s="1" t="inlineStr">
        <is>
          <t>· +1 713-598-2737</t>
        </is>
      </c>
      <c r="F16" s="1" t="inlineStr">
        <is>
          <t>Open</t>
        </is>
      </c>
      <c r="G16" s="1" t="inlineStr">
        <is>
          <t>"The technicians arrived on time and fixed my AC quickly."</t>
        </is>
      </c>
      <c r="I16" s="2" t="inlineStr">
        <is>
          <t>https://api.leadconnectorhq.com/widget/group/bTgfJTUQkuHmlMMI8aFR?hl=en-ZA&amp;gei=tDaKaYj2HM-mhbIP54DAwAg&amp;rwg_token=AFd1xnECFuCRv0Z-biPxYtT-YWbmKai3u4E9N3DLmFsrzFD4EWOq85_V4TbL961F1ECBJJgkzgmlOhM9UXNvpjaCmEda85EGZw%3D%3D&amp;source=cat</t>
        </is>
      </c>
      <c r="J16" s="1" t="inlineStr">
        <is>
          <t>Schedule</t>
        </is>
      </c>
      <c r="K16" s="2" t="inlineStr">
        <is>
          <t>https://75degreeac.com/?utm_source=GBP&amp;utm_medium=GBP&amp;utm_campaign=GBP</t>
        </is>
      </c>
      <c r="L16" s="2" t="inlineStr">
        <is>
          <t>https://www.google.com/maps/dir//75+Degree+AC-+Houston,+4800+W+34th+St+C50F,+Houston,+TX+77092,+United+States/data=!4m6!4m5!1m1!4e2!1m2!1m1!1s0x8640c668d5afffff:0xd5c7e9b53695698c?sa=X&amp;ved=1t:57443&amp;ictx=111</t>
        </is>
      </c>
      <c r="M16" s="1" t="inlineStr">
        <is>
          <t>Directions</t>
        </is>
      </c>
      <c r="N16" s="1" t="inlineStr">
        <is>
          <t>· Closes 9 pm</t>
        </is>
      </c>
    </row>
    <row r="17" ht="15.75" customHeight="1" s="48">
      <c r="A17" s="1" t="inlineStr">
        <is>
          <t>Comfort Star Ac Repair</t>
        </is>
      </c>
      <c r="B17" s="1" t="inlineStr">
        <is>
          <t>4,9</t>
        </is>
      </c>
      <c r="C17" s="1" t="n">
        <v>-392</v>
      </c>
      <c r="D17" s="1" t="inlineStr">
        <is>
          <t>15+ years in business · Houston, TX, United States</t>
        </is>
      </c>
      <c r="E17" s="1" t="inlineStr">
        <is>
          <t>· +1 713-999-1900</t>
        </is>
      </c>
      <c r="F17" s="1" t="inlineStr">
        <is>
          <t>Open</t>
        </is>
      </c>
      <c r="G17" s="1" t="inlineStr">
        <is>
          <t>"Shane recently fixed the leak in my a/c system and it’s working beautifully."</t>
        </is>
      </c>
      <c r="K17" s="2" t="inlineStr">
        <is>
          <t>https://www.comfortstaracrepairhouston.com/</t>
        </is>
      </c>
      <c r="L17" s="2" t="inlineStr">
        <is>
          <t>https://www.google.com/maps/dir//Comfort+Star+Ac+Repair,+9319+Long+Point+Rd,+Houston,+TX+77055,+United+States/data=!4m6!4m5!1m1!4e2!1m2!1m1!1s0x8640c3d6885d70df:0xf1545701d2e739a3?sa=X&amp;ved=1t:57443&amp;ictx=111</t>
        </is>
      </c>
      <c r="M17" s="1" t="inlineStr">
        <is>
          <t>Directions</t>
        </is>
      </c>
      <c r="N17" s="1" t="inlineStr">
        <is>
          <t>· Closes 8 pm</t>
        </is>
      </c>
    </row>
    <row r="18" ht="15.75" customHeight="1" s="48">
      <c r="A18" s="1" t="inlineStr">
        <is>
          <t>Richmonds Air</t>
        </is>
      </c>
      <c r="B18" s="1" t="inlineStr">
        <is>
          <t>4,7</t>
        </is>
      </c>
      <c r="C18" s="1" t="n">
        <v>-351</v>
      </c>
      <c r="D18" s="1" t="inlineStr">
        <is>
          <t>20+ years in business</t>
        </is>
      </c>
      <c r="E18" s="1" t="inlineStr">
        <is>
          <t>· +1 713-999-4735</t>
        </is>
      </c>
      <c r="F18" s="1" t="inlineStr">
        <is>
          <t>Open</t>
        </is>
      </c>
      <c r="G18" s="1" t="inlineStr">
        <is>
          <t>"He arrived on time and was able to resolve my AC issue within a day."</t>
        </is>
      </c>
      <c r="K18" s="2" t="inlineStr">
        <is>
          <t>https://www.richmondsair.com/?utm_source=gmb&amp;utm_medium=website</t>
        </is>
      </c>
      <c r="N18" s="1" t="inlineStr">
        <is>
          <t>· Closes 7 pm</t>
        </is>
      </c>
    </row>
    <row r="19" ht="15.75" customHeight="1" s="48">
      <c r="A19" s="1" t="inlineStr">
        <is>
          <t>Aire Serv of Central &amp; West Houston</t>
        </is>
      </c>
      <c r="B19" s="1" t="inlineStr">
        <is>
          <t>4,9</t>
        </is>
      </c>
      <c r="C19" s="1" t="n">
        <v>-193</v>
      </c>
      <c r="D19" s="1" t="inlineStr">
        <is>
          <t>5+ years in business · Houston, TX, United States</t>
        </is>
      </c>
      <c r="E19" s="1" t="inlineStr">
        <is>
          <t>· +1 832-432-7888</t>
        </is>
      </c>
      <c r="F19" s="1" t="inlineStr">
        <is>
          <t>Open 24 hours</t>
        </is>
      </c>
      <c r="G19" s="1" t="inlineStr">
        <is>
          <t>"They went above and beyond by bringing temporary relief with a portable AC!"</t>
        </is>
      </c>
      <c r="I19" s="2" t="inlineStr">
        <is>
          <t>https://www.aireserv.com/schedule-service/?utm_source=gmb&amp;utm_medium=organic&amp;utm_campaign=google_reserve&amp;location=30026&amp;hl=en-ZA&amp;gei=tDaKaYj2HM-mhbIP54DAwAg&amp;rwg_token=AFd1xnESaj1QuzKh8Uwcn1wvLqaFE3_WuzhZl4pNAViUuc5pTUxUbAuDFXN3s4s1YFtc0u6U-mw8v2nW2fahrOnxrkiFhUXwPw%3D%3D&amp;source=cat</t>
        </is>
      </c>
      <c r="J19" s="1" t="inlineStr">
        <is>
          <t>Schedule</t>
        </is>
      </c>
      <c r="K19" s="2" t="inlineStr">
        <is>
          <t>https://aireserv.com/central-west-houston/?cid=LSTL_ASV-US000187&amp;utm_source=gmb&amp;utm_campaign=local&amp;utm_medium=organic</t>
        </is>
      </c>
      <c r="L19" s="2" t="inlineStr">
        <is>
          <t>https://www.google.com/maps/dir//Aire+Serv+of+Central+%26+West+Houston,+3100+Weslayan+St+Suite+232,+Houston,+TX+77027,+United+States/data=!4m6!4m5!1m1!4e2!1m2!1m1!1s0x8640dbed7581de8d:0xb774839480685550?sa=X&amp;ved=1t:57443&amp;ictx=111</t>
        </is>
      </c>
      <c r="M19" s="1" t="inlineStr">
        <is>
          <t>Directions</t>
        </is>
      </c>
    </row>
    <row r="20" ht="15.75" customHeight="1" s="48">
      <c r="A20" s="1" t="inlineStr">
        <is>
          <t>Service Experts Houston</t>
        </is>
      </c>
      <c r="B20" s="1" t="inlineStr">
        <is>
          <t>4,8</t>
        </is>
      </c>
      <c r="C20" s="1" t="inlineStr">
        <is>
          <t>(4,4K)</t>
        </is>
      </c>
      <c r="D20" s="1" t="inlineStr">
        <is>
          <t>35+ years in business · Houston, TX, United States</t>
        </is>
      </c>
      <c r="E20" s="1" t="inlineStr">
        <is>
          <t>· +1 346-752-9261</t>
        </is>
      </c>
      <c r="F20" s="1" t="inlineStr">
        <is>
          <t>Open 24 hours</t>
        </is>
      </c>
      <c r="G20" s="1" t="inlineStr">
        <is>
          <t>"Our AC was back up and running, cooling the upstairs within a hour!"</t>
        </is>
      </c>
      <c r="I20" s="2" t="inlineStr">
        <is>
          <t>https://book.servicetitan.com/u8qrs4uze1ftd7mh57azld50?hl=en-ZA&amp;gei=tDaKaYj2HM-mhbIP54DAwAg&amp;rwg_token=AFd1xnEh0xeGt4wUr4RYCGLzcYEbH2rD_G6n4RSnWMFE5cnM_8h413gxdBJrN6ahqb0YUIQ3YD_CbuqXdCrqDfcDjcqj_7_Jew%3D%3D&amp;source=cat</t>
        </is>
      </c>
      <c r="J20" s="1" t="inlineStr">
        <is>
          <t>Schedule</t>
        </is>
      </c>
      <c r="K20" s="2" t="inlineStr">
        <is>
          <t>https://www.serviceexperts.com/houston-tx?&amp;utm_campaign=listing&amp;utm_medium=organic_search&amp;utm_source=gmb&amp;utm_content=brand</t>
        </is>
      </c>
      <c r="L20" s="2" t="inlineStr">
        <is>
          <t>https://www.google.com/maps/dir//Service+Experts+Houston,+4250+N+Sam+Houston+Pkwy+E+Suite+130,+Houston,+TX+77032,+United+States/data=!4m6!4m5!1m1!4e2!1m2!1m1!1s0x8640db314c21c923:0x1e931a697f8c9024?sa=X&amp;ved=1t:57443&amp;ictx=111</t>
        </is>
      </c>
      <c r="M20" s="1" t="inlineStr">
        <is>
          <t>Directions</t>
        </is>
      </c>
    </row>
    <row r="21" ht="15.75" customHeight="1" s="48">
      <c r="A21" s="1" t="inlineStr">
        <is>
          <t>Nick's Plumbing &amp; Air Conditioning</t>
        </is>
      </c>
      <c r="B21" s="1" t="inlineStr">
        <is>
          <t>4,7</t>
        </is>
      </c>
      <c r="C21" s="1" t="inlineStr">
        <is>
          <t>(3,9K)</t>
        </is>
      </c>
      <c r="D21" s="1" t="inlineStr">
        <is>
          <t>45+ years in business · Houston, TX, United States</t>
        </is>
      </c>
      <c r="E21" s="1" t="inlineStr">
        <is>
          <t>· +1 281-406-3336</t>
        </is>
      </c>
      <c r="F21" s="1" t="inlineStr">
        <is>
          <t>Open</t>
        </is>
      </c>
      <c r="G21" s="1" t="inlineStr">
        <is>
          <t>"They replaced a thermostat &amp; restored cool  to our home quickly."</t>
        </is>
      </c>
      <c r="H21" s="1" t="inlineStr">
        <is>
          <t>air</t>
        </is>
      </c>
      <c r="I21" s="2" t="inlineStr">
        <is>
          <t>https://book.servicetitan.com/q1iqunoxfajqbimdstyd5c96?hl=en-ZA&amp;gei=tDaKaYj2HM-mhbIP54DAwAg&amp;rwg_token=AFd1xnGu4tklNyBYxbRUTeypK51u9SIAD-ot1nUj_mnRr8sFxesc1dD7ProGdqznjcs4Pmrj_nnocemKN69BYF6ymEQMSgn2PQ%3D%3D&amp;source=cat</t>
        </is>
      </c>
      <c r="J21" s="1" t="inlineStr">
        <is>
          <t>Schedule</t>
        </is>
      </c>
      <c r="K21" s="2" t="inlineStr">
        <is>
          <t>https://www.nicksplumbing.com/?utm_source=organic&amp;utm_medium=gbp&amp;utm_campaign=local</t>
        </is>
      </c>
      <c r="L21" s="2" t="inlineStr">
        <is>
          <t>https://www.google.com/maps/dir//Nick's+Plumbing+%26+Air+Conditioning,+3780+Yale+St,+Houston,+TX+77018,+United+States/data=!4m6!4m5!1m1!4e2!1m2!1m1!1s0x8640c76a4c3f8f73:0x7ae991add0786989?sa=X&amp;ved=1t:57443&amp;ictx=111</t>
        </is>
      </c>
      <c r="M21" s="1" t="inlineStr">
        <is>
          <t>Directions</t>
        </is>
      </c>
      <c r="N21" s="1" t="inlineStr">
        <is>
          <t>· Closes 6 pm</t>
        </is>
      </c>
    </row>
    <row r="22" ht="15.75" customHeight="1" s="48">
      <c r="A22" s="1" t="inlineStr">
        <is>
          <t>OSrXXb</t>
        </is>
      </c>
      <c r="B22" s="1" t="inlineStr">
        <is>
          <t>rllt__details</t>
        </is>
      </c>
      <c r="C22" s="1" t="inlineStr">
        <is>
          <t>yi40Hd</t>
        </is>
      </c>
      <c r="D22" s="1" t="inlineStr">
        <is>
          <t>RDApEe</t>
        </is>
      </c>
      <c r="E22" s="1" t="inlineStr">
        <is>
          <t>rllt__details 2</t>
        </is>
      </c>
      <c r="F22" s="1" t="inlineStr">
        <is>
          <t>rllt__details 3</t>
        </is>
      </c>
      <c r="G22" s="1" t="inlineStr">
        <is>
          <t>rllt__details 4</t>
        </is>
      </c>
      <c r="H22" s="1" t="inlineStr">
        <is>
          <t>uDyWh</t>
        </is>
      </c>
      <c r="I22" s="1" t="inlineStr">
        <is>
          <t>yYlJEf href</t>
        </is>
      </c>
      <c r="J22" s="1" t="inlineStr">
        <is>
          <t>rllt__details 5</t>
        </is>
      </c>
      <c r="K22" s="1" t="inlineStr">
        <is>
          <t>yYlJEf href 2</t>
        </is>
      </c>
      <c r="L22" s="1" t="inlineStr">
        <is>
          <t>QuU3Wb 2</t>
        </is>
      </c>
    </row>
    <row r="23" ht="15.75" customHeight="1" s="48">
      <c r="A23" s="1" t="inlineStr">
        <is>
          <t>JAVCO Air Conditioning &amp; Heating</t>
        </is>
      </c>
      <c r="B23" s="1" t="inlineStr">
        <is>
          <t>· Air conditioning repair service</t>
        </is>
      </c>
      <c r="C23" s="1" t="inlineStr">
        <is>
          <t>5,0</t>
        </is>
      </c>
      <c r="D23" s="1" t="n">
        <v>-214</v>
      </c>
      <c r="E23" s="1" t="inlineStr">
        <is>
          <t>3+ years in business</t>
        </is>
      </c>
      <c r="F23" s="1" t="inlineStr">
        <is>
          <t>· +1 832-731-6165</t>
        </is>
      </c>
      <c r="G23" s="1" t="inlineStr">
        <is>
          <t>Open 24 hours</t>
        </is>
      </c>
      <c r="H23" s="1" t="inlineStr">
        <is>
          <t>"He gave me a fair quote and repaired my AC in a timely manner."</t>
        </is>
      </c>
      <c r="I23" s="2" t="inlineStr">
        <is>
          <t>https://javcoac.com/</t>
        </is>
      </c>
    </row>
    <row r="24" ht="15.75" customHeight="1" s="48">
      <c r="A24" s="1" t="inlineStr">
        <is>
          <t>Turbo AC Repair Houston</t>
        </is>
      </c>
      <c r="B24" s="1" t="inlineStr">
        <is>
          <t>· Air conditioning repair service</t>
        </is>
      </c>
      <c r="C24" s="1" t="inlineStr">
        <is>
          <t>4,8</t>
        </is>
      </c>
      <c r="D24" s="1" t="n">
        <v>-665</v>
      </c>
      <c r="E24" s="1" t="inlineStr">
        <is>
          <t>7+ years in business · Houston, TX, United States</t>
        </is>
      </c>
      <c r="F24" s="1" t="inlineStr">
        <is>
          <t>· +1 281-241-7835</t>
        </is>
      </c>
      <c r="G24" s="1" t="inlineStr">
        <is>
          <t>Open</t>
        </is>
      </c>
      <c r="H24" s="1" t="inlineStr">
        <is>
          <t>"They came the same day, fixed our A/C fast, and the price was fair."</t>
        </is>
      </c>
      <c r="I24" s="2" t="inlineStr">
        <is>
          <t>https://turbohomeservices.com/</t>
        </is>
      </c>
      <c r="J24" s="1" t="inlineStr">
        <is>
          <t>· Closes 9 pm</t>
        </is>
      </c>
      <c r="K24" s="2" t="inlineStr">
        <is>
          <t>https://www.google.com/maps/dir//Turbo+AC+Repair+Houston,+7926+Breen+Dr+Suite+B,+Houston,+TX+77064,+United+States/data=!4m6!4m5!1m1!4e2!1m2!1m1!1s0x8640cf9b816cac7d:0x263eeb05aed6e2c?sa=X&amp;ved=1t:57443&amp;ictx=111</t>
        </is>
      </c>
      <c r="L24" s="1" t="inlineStr">
        <is>
          <t>Directions</t>
        </is>
      </c>
    </row>
    <row r="25" ht="15.75" customHeight="1" s="48">
      <c r="A25" s="1" t="inlineStr">
        <is>
          <t>ASAP AIR A/C and Heating</t>
        </is>
      </c>
      <c r="B25" s="1" t="inlineStr">
        <is>
          <t>· HVAC contractor</t>
        </is>
      </c>
      <c r="C25" s="1" t="inlineStr">
        <is>
          <t>5,0</t>
        </is>
      </c>
      <c r="D25" s="1" t="n">
        <v>-43</v>
      </c>
      <c r="E25" s="1" t="inlineStr">
        <is>
          <t>25+ years in business · Houston, TX, United States</t>
        </is>
      </c>
      <c r="F25" s="1" t="inlineStr">
        <is>
          <t>· +1 713-862-1775</t>
        </is>
      </c>
      <c r="G25" s="1" t="inlineStr">
        <is>
          <t>Open</t>
        </is>
      </c>
      <c r="H25" s="1" t="inlineStr">
        <is>
          <t>"Quickly diagnosed my home ac unit issue and fixed it less than 15 minutes."</t>
        </is>
      </c>
      <c r="I25" s="2" t="inlineStr">
        <is>
          <t>https://www.asapairhoustonac.com/</t>
        </is>
      </c>
      <c r="J25" s="1" t="inlineStr">
        <is>
          <t>· Closes 6 pm</t>
        </is>
      </c>
      <c r="K25" s="2" t="inlineStr">
        <is>
          <t>https://www.google.com/maps/dir//ASAP+AIR+A%2FC+and+Heating,+1009+Aurora+St,+Houston,+TX+77009,+United+States/data=!4m6!4m5!1m1!4e2!1m2!1m1!1s0x8640b885ae97f79d:0x3cfc84165457a0b2?sa=X&amp;ved=1t:57443&amp;ictx=111</t>
        </is>
      </c>
      <c r="L25" s="1" t="inlineStr">
        <is>
          <t>Directions</t>
        </is>
      </c>
    </row>
    <row r="26" ht="15.75" customHeight="1" s="48">
      <c r="A26" s="1" t="inlineStr">
        <is>
          <t>Bodensteiner Service Inc</t>
        </is>
      </c>
      <c r="B26" s="1" t="inlineStr">
        <is>
          <t>· Air conditioning repair service</t>
        </is>
      </c>
      <c r="C26" s="1" t="inlineStr">
        <is>
          <t>5,0</t>
        </is>
      </c>
      <c r="D26" s="1" t="n">
        <v>-973</v>
      </c>
      <c r="E26" s="1" t="inlineStr">
        <is>
          <t>65+ years in business · Houston, TX, United States</t>
        </is>
      </c>
      <c r="F26" s="1" t="inlineStr">
        <is>
          <t>· +1 713-868-0050</t>
        </is>
      </c>
      <c r="G26" s="1" t="inlineStr">
        <is>
          <t>Open</t>
        </is>
      </c>
      <c r="H26" s="1" t="inlineStr">
        <is>
          <t>"Arrived and had my AC issue pinpointed and fixed within 15 minutes."</t>
        </is>
      </c>
      <c r="I26" s="2" t="inlineStr">
        <is>
          <t>https://www.bsiairhouston.com/</t>
        </is>
      </c>
      <c r="J26" s="1" t="inlineStr">
        <is>
          <t>· Closes 5 pm</t>
        </is>
      </c>
      <c r="K26" s="2" t="inlineStr">
        <is>
          <t>https://www.google.com/maps/dir//Bodensteiner+Service+Inc,+3403+Houston+Ave,+Houston,+TX+77009,+United+States/data=!4m6!4m5!1m1!4e2!1m2!1m1!1s0x8640b9ab77e4523f:0x4722ae29320ce230?sa=X&amp;ved=1t:57443&amp;ictx=111</t>
        </is>
      </c>
      <c r="L26" s="1" t="inlineStr">
        <is>
          <t>Directions</t>
        </is>
      </c>
    </row>
    <row r="27" ht="15.75" customHeight="1" s="48">
      <c r="A27" s="1" t="inlineStr">
        <is>
          <t>Master AC and Heat, LLC- The Heights</t>
        </is>
      </c>
      <c r="B27" s="1" t="inlineStr">
        <is>
          <t>· HVAC contractor</t>
        </is>
      </c>
      <c r="C27" s="1" t="inlineStr">
        <is>
          <t>4,8</t>
        </is>
      </c>
      <c r="D27" s="1" t="n">
        <v>-165</v>
      </c>
      <c r="E27" s="1" t="inlineStr">
        <is>
          <t>7+ years in business · Houston, TX, United States</t>
        </is>
      </c>
      <c r="F27" s="1" t="inlineStr">
        <is>
          <t>· +1 713-750-9769</t>
        </is>
      </c>
      <c r="G27" s="1" t="inlineStr">
        <is>
          <t>Open 24 hours</t>
        </is>
      </c>
      <c r="H27" s="1" t="inlineStr">
        <is>
          <t>"Explained the issue and fixed our  fan motor all in the same day."</t>
        </is>
      </c>
      <c r="I27" s="2" t="inlineStr">
        <is>
          <t>http://masteracandheat.com/</t>
        </is>
      </c>
      <c r="K27" s="2" t="inlineStr">
        <is>
          <t>https://www.google.com/maps/dir//Master+AC+and+Heat,+LLC-+The+Heights,+2607+North+Fwy,+Houston,+TX+77009,+United+States/data=!4m6!4m5!1m1!4e2!1m2!1m1!1s0x8640b8eaa555ba1d:0xca8a9ec797fa69c8?sa=X&amp;ved=1t:57443&amp;ictx=111</t>
        </is>
      </c>
      <c r="L27" s="1" t="inlineStr">
        <is>
          <t>Directions</t>
        </is>
      </c>
    </row>
    <row r="28" ht="15.75" customHeight="1" s="48">
      <c r="A28" s="1" t="inlineStr">
        <is>
          <t>Vibrant Mechanical</t>
        </is>
      </c>
      <c r="B28" s="1" t="inlineStr">
        <is>
          <t>· HVAC contractor</t>
        </is>
      </c>
      <c r="C28" s="1" t="inlineStr">
        <is>
          <t>5,0</t>
        </is>
      </c>
      <c r="D28" s="1" t="n">
        <v>-144</v>
      </c>
      <c r="E28" s="1" t="inlineStr">
        <is>
          <t>Houston, TX, United States</t>
        </is>
      </c>
      <c r="F28" s="1" t="inlineStr">
        <is>
          <t>· +1 281-436-9758</t>
        </is>
      </c>
      <c r="G28" s="1" t="inlineStr">
        <is>
          <t>Open 24 hours</t>
        </is>
      </c>
      <c r="H28" s="1" t="inlineStr">
        <is>
          <t>"He arrived within 30 min of my call and fixed my AC within 2 hours."</t>
        </is>
      </c>
      <c r="I28" s="2" t="inlineStr">
        <is>
          <t>https://vibrantmechanical.com/</t>
        </is>
      </c>
      <c r="K28" s="2" t="inlineStr">
        <is>
          <t>https://www.google.com/maps/dir//Vibrant+Mechanical,+3101+San+Jacinto+St,+Houston,+TX+77004,+United+States/data=!4m6!4m5!1m1!4e2!1m2!1m1!1s0x8640ad64b312501b:0xc9683f7ecd004db?sa=X&amp;ved=1t:57443&amp;ictx=111</t>
        </is>
      </c>
      <c r="L28" s="1" t="inlineStr">
        <is>
          <t>Directions</t>
        </is>
      </c>
    </row>
    <row r="29" ht="15.75" customHeight="1" s="48">
      <c r="A29" s="1" t="inlineStr">
        <is>
          <t>John Moore Services</t>
        </is>
      </c>
      <c r="B29" s="1" t="inlineStr">
        <is>
          <t>· HVAC contractor</t>
        </is>
      </c>
      <c r="C29" s="1" t="inlineStr">
        <is>
          <t>4,7</t>
        </is>
      </c>
      <c r="D29" s="1" t="inlineStr">
        <is>
          <t>(19K)</t>
        </is>
      </c>
      <c r="E29" s="1" t="inlineStr">
        <is>
          <t>60+ years in business · Houston, TX, United States</t>
        </is>
      </c>
      <c r="F29" s="1" t="inlineStr">
        <is>
          <t>· +1 713-853-9885</t>
        </is>
      </c>
      <c r="G29" s="1" t="inlineStr">
        <is>
          <t>Open 24 hours</t>
        </is>
      </c>
      <c r="H29" s="1" t="inlineStr">
        <is>
          <t>"He came in and diagnosed a simple problem with my AC and didn’t charge me."</t>
        </is>
      </c>
      <c r="I29" s="2" t="inlineStr">
        <is>
          <t>http://www.johnmooreservices.com/</t>
        </is>
      </c>
      <c r="K29" s="2" t="inlineStr">
        <is>
          <t>https://www.google.com/maps/dir//John+Moore+Services,+10005+W+Sam+Houston+Pkwy+N,+Houston,+TX+77064,+United+States/data=!4m6!4m5!1m1!4e2!1m2!1m1!1s0x8640ce28b83c0495:0x95919008d9dd5af3?sa=X&amp;ved=1t:57443&amp;ictx=111</t>
        </is>
      </c>
      <c r="L29" s="1" t="inlineStr">
        <is>
          <t>Directions</t>
        </is>
      </c>
    </row>
    <row r="30" ht="15.75" customHeight="1" s="48">
      <c r="A30" s="1" t="inlineStr">
        <is>
          <t>Heights A/C &amp; Heating, LLC.</t>
        </is>
      </c>
      <c r="B30" s="1" t="inlineStr">
        <is>
          <t>· HVAC contractor</t>
        </is>
      </c>
      <c r="C30" s="1" t="inlineStr">
        <is>
          <t>4,9</t>
        </is>
      </c>
      <c r="D30" s="1" t="n">
        <v>-64</v>
      </c>
      <c r="E30" s="1" t="inlineStr">
        <is>
          <t>10+ years in business</t>
        </is>
      </c>
      <c r="F30" s="1" t="inlineStr">
        <is>
          <t>· +1 832-729-0017</t>
        </is>
      </c>
      <c r="G30" s="1" t="inlineStr">
        <is>
          <t>Open</t>
        </is>
      </c>
      <c r="H30" s="1" t="inlineStr">
        <is>
          <t>"Their process is efficient and seamless and the cost is fair."</t>
        </is>
      </c>
      <c r="I30" s="2" t="inlineStr">
        <is>
          <t>http://www.heightsacandheating.com/</t>
        </is>
      </c>
      <c r="J30" s="1" t="inlineStr">
        <is>
          <t>· Closes 5 pm</t>
        </is>
      </c>
    </row>
    <row r="31" ht="15.75" customHeight="1" s="48">
      <c r="A31" s="1" t="inlineStr">
        <is>
          <t>Ethan Clark Air Conditioning</t>
        </is>
      </c>
      <c r="B31" s="1" t="inlineStr">
        <is>
          <t>· Air conditioning contractor</t>
        </is>
      </c>
      <c r="C31" s="1" t="inlineStr">
        <is>
          <t>5,0</t>
        </is>
      </c>
      <c r="D31" s="1" t="n">
        <v>-172</v>
      </c>
      <c r="E31" s="1" t="inlineStr">
        <is>
          <t>35+ years in business · Houston, TX, United States</t>
        </is>
      </c>
      <c r="F31" s="1" t="inlineStr">
        <is>
          <t>· +1 713-236-1119</t>
        </is>
      </c>
      <c r="G31" s="1" t="inlineStr">
        <is>
          <t>Open</t>
        </is>
      </c>
      <c r="H31" s="1" t="inlineStr">
        <is>
          <t>"He came on time, fixed my problem and explained the issue and solution."</t>
        </is>
      </c>
      <c r="I31" s="2" t="inlineStr">
        <is>
          <t>http://www.ethanclark.com/</t>
        </is>
      </c>
      <c r="J31" s="1" t="inlineStr">
        <is>
          <t>· Closes 5 pm</t>
        </is>
      </c>
      <c r="K31" s="2" t="inlineStr">
        <is>
          <t>https://www.google.com/maps/dir//Ethan+Clark+Air+Conditioning,+1320+Rothwell+St,+Houston,+TX+77002,+United+States/data=!4m6!4m5!1m1!4e2!1m2!1m1!1s0x8640bf2a3bf00cef:0xd8c1edd1a2eb234?sa=X&amp;ved=1t:57443&amp;ictx=111</t>
        </is>
      </c>
      <c r="L31" s="1" t="inlineStr">
        <is>
          <t>Directions</t>
        </is>
      </c>
    </row>
    <row r="32" ht="15.75" customHeight="1" s="48">
      <c r="A32" s="1" t="inlineStr">
        <is>
          <t>Bayou City Aire, LLC</t>
        </is>
      </c>
      <c r="B32" s="1" t="inlineStr">
        <is>
          <t>· HVAC contractor</t>
        </is>
      </c>
      <c r="C32" s="1" t="inlineStr">
        <is>
          <t>4,9</t>
        </is>
      </c>
      <c r="D32" s="1" t="n">
        <v>-65</v>
      </c>
      <c r="E32" s="1" t="inlineStr">
        <is>
          <t>10+ years in business · Houston, TX, United States</t>
        </is>
      </c>
      <c r="F32" s="1" t="inlineStr">
        <is>
          <t>· +1 713-568-9437</t>
        </is>
      </c>
      <c r="G32" s="1" t="inlineStr">
        <is>
          <t>Open</t>
        </is>
      </c>
      <c r="H32" s="1" t="inlineStr">
        <is>
          <t>"Fixed my A/C in record time."</t>
        </is>
      </c>
      <c r="I32" s="2" t="inlineStr">
        <is>
          <t>http://www.bayoucityac.com/</t>
        </is>
      </c>
      <c r="J32" s="1" t="inlineStr">
        <is>
          <t>· Closes 5 pm</t>
        </is>
      </c>
      <c r="K32" s="2" t="inlineStr">
        <is>
          <t>https://www.google.com/maps/dir//Bayou+City+Aire,+LLC,+1205+North+Loop,+Houston,+TX+77022,+United+States/data=!4m6!4m5!1m1!4e2!1m2!1m1!1s0x8640b8eba3caf80b:0x66c0161a66f9841?sa=X&amp;ved=1t:57443&amp;ictx=111</t>
        </is>
      </c>
      <c r="L32" s="1" t="inlineStr">
        <is>
          <t>Directions</t>
        </is>
      </c>
    </row>
    <row r="33" ht="15.75" customHeight="1" s="48">
      <c r="A33" s="1" t="inlineStr">
        <is>
          <t>AIRTEAM Heating &amp; Cooling</t>
        </is>
      </c>
      <c r="B33" s="1" t="inlineStr">
        <is>
          <t>· HVAC contractor</t>
        </is>
      </c>
      <c r="C33" s="1" t="inlineStr">
        <is>
          <t>4,8</t>
        </is>
      </c>
      <c r="D33" s="1" t="inlineStr">
        <is>
          <t>(1,4K)</t>
        </is>
      </c>
      <c r="E33" s="1" t="inlineStr">
        <is>
          <t>35+ years in business · Houston, TX, United States</t>
        </is>
      </c>
      <c r="F33" s="1" t="inlineStr">
        <is>
          <t>· +1 713-936-5346</t>
        </is>
      </c>
      <c r="G33" s="1" t="inlineStr">
        <is>
          <t>Open</t>
        </is>
      </c>
      <c r="H33" s="1" t="inlineStr">
        <is>
          <t>"The tech Ronni handled my ac issue promptly in a timely manor."</t>
        </is>
      </c>
      <c r="I33" s="2" t="inlineStr">
        <is>
          <t>http://www.airteamltd.com/</t>
        </is>
      </c>
      <c r="J33" s="1" t="inlineStr">
        <is>
          <t>· Closes 4 pm</t>
        </is>
      </c>
      <c r="K33" s="2" t="inlineStr">
        <is>
          <t>https://www.google.com/maps/dir//AIRTEAM+Heating+%26+Cooling,+6119+Westview+Dr,+Houston,+TX+77055,+United+States/data=!4m6!4m5!1m1!4e2!1m2!1m1!1s0x8640c695e995e4d7:0xef2cf077feefd354?sa=X&amp;ved=1t:57443&amp;ictx=111</t>
        </is>
      </c>
      <c r="L33" s="1" t="inlineStr">
        <is>
          <t>Directions</t>
        </is>
      </c>
    </row>
    <row r="34" ht="15.75" customHeight="1" s="48">
      <c r="A34" s="1" t="inlineStr">
        <is>
          <t>Central City Air</t>
        </is>
      </c>
      <c r="B34" s="1" t="inlineStr">
        <is>
          <t>· HVAC contractor</t>
        </is>
      </c>
      <c r="C34" s="1" t="inlineStr">
        <is>
          <t>4,9</t>
        </is>
      </c>
      <c r="D34" s="1" t="n">
        <v>-311</v>
      </c>
      <c r="E34" s="1" t="inlineStr">
        <is>
          <t>10+ years in business · Houston, TX, United States</t>
        </is>
      </c>
      <c r="F34" s="1" t="inlineStr">
        <is>
          <t>· +1 713-861-1977</t>
        </is>
      </c>
      <c r="G34" s="1" t="inlineStr">
        <is>
          <t>Open</t>
        </is>
      </c>
      <c r="H34" s="1" t="inlineStr">
        <is>
          <t>"They came out and replaced the entire system in a day."</t>
        </is>
      </c>
      <c r="I34" s="2" t="inlineStr">
        <is>
          <t>https://centralcityair.com/</t>
        </is>
      </c>
      <c r="J34" s="1" t="inlineStr">
        <is>
          <t>· Closes 5 pm</t>
        </is>
      </c>
      <c r="K34" s="2" t="inlineStr">
        <is>
          <t>https://www.google.com/maps/dir//Central+City+Air,+520+Thornton+Rd,+Houston,+TX+77018,+United+States/data=!4m6!4m5!1m1!4e2!1m2!1m1!1s0x8640c7911304ba4d:0xab26c7b6f133790b?sa=X&amp;ved=1t:57443&amp;ictx=111</t>
        </is>
      </c>
      <c r="L34" s="1" t="inlineStr">
        <is>
          <t>Directions</t>
        </is>
      </c>
    </row>
    <row r="35" ht="15.75" customHeight="1" s="48">
      <c r="A35" s="1" t="inlineStr">
        <is>
          <t>Legacy AC &amp; Heating</t>
        </is>
      </c>
      <c r="B35" s="1" t="inlineStr">
        <is>
          <t>· HVAC contractor</t>
        </is>
      </c>
      <c r="C35" s="1" t="inlineStr">
        <is>
          <t>5,0</t>
        </is>
      </c>
      <c r="D35" s="1" t="n">
        <v>-31</v>
      </c>
      <c r="E35" s="1" t="inlineStr">
        <is>
          <t>· +1 832-977-2692</t>
        </is>
      </c>
      <c r="G35" s="1" t="inlineStr">
        <is>
          <t>Open</t>
        </is>
      </c>
      <c r="H35" s="1" t="inlineStr">
        <is>
          <t>"Got me fixed up on a hot day when no one else could come out."</t>
        </is>
      </c>
      <c r="I35" s="2" t="inlineStr">
        <is>
          <t>https://www.legacyacandheating.com/</t>
        </is>
      </c>
      <c r="J35" s="1" t="inlineStr">
        <is>
          <t>· Closes 10 pm</t>
        </is>
      </c>
    </row>
    <row r="36" ht="15.75" customHeight="1" s="48">
      <c r="A36" s="1" t="inlineStr">
        <is>
          <t>My Kelly's AC</t>
        </is>
      </c>
      <c r="B36" s="1" t="inlineStr">
        <is>
          <t>· HVAC contractor</t>
        </is>
      </c>
      <c r="C36" s="1" t="inlineStr">
        <is>
          <t>5,0</t>
        </is>
      </c>
      <c r="D36" s="1" t="n">
        <v>-319</v>
      </c>
      <c r="E36" s="1" t="inlineStr">
        <is>
          <t>30+ years in business · Houston, TX, United States</t>
        </is>
      </c>
      <c r="F36" s="1" t="inlineStr">
        <is>
          <t>· +1 281-909-7002</t>
        </is>
      </c>
      <c r="G36" s="1" t="inlineStr">
        <is>
          <t>Open</t>
        </is>
      </c>
      <c r="H36" s="1" t="inlineStr">
        <is>
          <t>"He fixed my thermostat within minutes and gave my furnace a tune up."</t>
        </is>
      </c>
      <c r="I36" s="2" t="inlineStr">
        <is>
          <t>https://www.mykellysac.com/?utm_source=cumulus&amp;utm_medium=onlinepresence&amp;utm_campaign=gbp</t>
        </is>
      </c>
      <c r="J36" s="1" t="inlineStr">
        <is>
          <t>· Closes 7 pm</t>
        </is>
      </c>
      <c r="K36" s="2" t="inlineStr">
        <is>
          <t>https://www.google.com/maps/dir//My+Kelly's+AC,+5505+Kittridge+St,+Houston,+TX+77028,+United+States/data=!4m6!4m5!1m1!4e2!1m2!1m1!1s0x8640c336f6b9d1eb:0xa78652ca440cf360?sa=X&amp;ved=1t:57443&amp;ictx=111</t>
        </is>
      </c>
      <c r="L36" s="1" t="inlineStr">
        <is>
          <t>Directions</t>
        </is>
      </c>
    </row>
    <row r="37" ht="15.75" customHeight="1" s="48">
      <c r="A37" s="1" t="inlineStr">
        <is>
          <t>Revolution Air</t>
        </is>
      </c>
      <c r="B37" s="1" t="inlineStr">
        <is>
          <t>· HVAC contractor</t>
        </is>
      </c>
      <c r="C37" s="1" t="inlineStr">
        <is>
          <t>4,7</t>
        </is>
      </c>
      <c r="D37" s="1" t="n">
        <v>-123</v>
      </c>
      <c r="E37" s="1" t="inlineStr">
        <is>
          <t>7+ years in business · Houston, TX, United States</t>
        </is>
      </c>
      <c r="F37" s="1" t="inlineStr">
        <is>
          <t>· +1 713-213-4966</t>
        </is>
      </c>
      <c r="G37" s="1" t="inlineStr">
        <is>
          <t>Open 24 hours</t>
        </is>
      </c>
      <c r="H37" s="1" t="inlineStr">
        <is>
          <t>"Once he arrived (very promptly!) the AC turned itself back on."</t>
        </is>
      </c>
      <c r="I37" s="2" t="inlineStr">
        <is>
          <t>http://www.revairtx.com/</t>
        </is>
      </c>
      <c r="K37" s="2" t="inlineStr">
        <is>
          <t>https://www.google.com/maps/dir//Revolution+Air,+1300+W+19th+St+%237827,+Houston,+TX+77008,+United+States/data=!4m6!4m5!1m1!4e2!1m2!1m1!1s0x8640c710f8f97a2b:0x4b54a69645e2ec28?sa=X&amp;ved=1t:57443&amp;ictx=111</t>
        </is>
      </c>
      <c r="L37" s="1" t="inlineStr">
        <is>
          <t>Directions</t>
        </is>
      </c>
    </row>
    <row r="38" ht="15.75" customHeight="1" s="48">
      <c r="A38" s="1" t="inlineStr">
        <is>
          <t>Total HVAC Houston</t>
        </is>
      </c>
      <c r="B38" s="1" t="inlineStr">
        <is>
          <t>· HVAC contractor</t>
        </is>
      </c>
      <c r="C38" s="1" t="inlineStr">
        <is>
          <t>5,0</t>
        </is>
      </c>
      <c r="D38" s="1" t="n">
        <v>-18</v>
      </c>
      <c r="E38" s="1" t="inlineStr">
        <is>
          <t>7+ years in business</t>
        </is>
      </c>
      <c r="F38" s="1" t="inlineStr">
        <is>
          <t>· +1 281-749-1195</t>
        </is>
      </c>
      <c r="G38" s="1" t="inlineStr">
        <is>
          <t>Open 24 hours</t>
        </is>
      </c>
      <c r="H38" s="1" t="inlineStr">
        <is>
          <t>"Technician was great and  were done quickly."</t>
        </is>
      </c>
      <c r="I38" s="2" t="inlineStr">
        <is>
          <t>https://greaterhoustonhvac.com/</t>
        </is>
      </c>
    </row>
    <row r="39" ht="15.75" customHeight="1" s="48">
      <c r="A39" s="1" t="inlineStr">
        <is>
          <t>Luke's Plumbing &amp; Air Conditioning</t>
        </is>
      </c>
      <c r="B39" s="1" t="inlineStr">
        <is>
          <t>· HVAC contractor</t>
        </is>
      </c>
      <c r="C39" s="1" t="inlineStr">
        <is>
          <t>4,8</t>
        </is>
      </c>
      <c r="D39" s="1" t="n">
        <v>-275</v>
      </c>
      <c r="E39" s="1" t="inlineStr">
        <is>
          <t>30+ years in business · Houston, TX, United States</t>
        </is>
      </c>
      <c r="F39" s="1" t="inlineStr">
        <is>
          <t>· +1 713-766-4887</t>
        </is>
      </c>
      <c r="G39" s="1" t="inlineStr">
        <is>
          <t>Open 24 hours</t>
        </is>
      </c>
      <c r="H39" s="1" t="inlineStr">
        <is>
          <t>"Prompt service and good work.They replaced a leaking Anti-siphon valve"</t>
        </is>
      </c>
      <c r="I39" s="2" t="inlineStr">
        <is>
          <t>https://calllukes.com/?utm_source=google&amp;utm_medium=gbp</t>
        </is>
      </c>
      <c r="K39" s="2" t="inlineStr">
        <is>
          <t>https://www.google.com/maps/dir//Luke's+Plumbing+%26+Air+Conditioning,+3548+E+T+C+Jester+Blvd,+Houston,+TX+77018,+United+States/data=!4m6!4m5!1m1!4e2!1m2!1m1!1s0x8640c5e03374b243:0x1c18f669c9148b2?sa=X&amp;ved=1t:57443&amp;ictx=111</t>
        </is>
      </c>
      <c r="L39" s="1" t="inlineStr">
        <is>
          <t>Directions</t>
        </is>
      </c>
    </row>
    <row r="40" ht="15.75" customHeight="1" s="48">
      <c r="A40" s="1" t="inlineStr">
        <is>
          <t>Air Innovations LLC</t>
        </is>
      </c>
      <c r="B40" s="1" t="inlineStr">
        <is>
          <t>· HVAC contractor</t>
        </is>
      </c>
      <c r="C40" s="1" t="inlineStr">
        <is>
          <t>4,7</t>
        </is>
      </c>
      <c r="D40" s="1" t="inlineStr">
        <is>
          <t>(1,3K)</t>
        </is>
      </c>
      <c r="E40" s="1" t="inlineStr">
        <is>
          <t>20+ years in business · Cypress, TX, United States</t>
        </is>
      </c>
      <c r="F40" s="1" t="inlineStr">
        <is>
          <t>· +1 281-830-2412</t>
        </is>
      </c>
      <c r="G40" s="1" t="inlineStr">
        <is>
          <t>Open</t>
        </is>
      </c>
      <c r="H40" s="1" t="inlineStr">
        <is>
          <t>"My AC had a leak, they addressed the issue and fix the problem right away."</t>
        </is>
      </c>
      <c r="I40" s="2" t="inlineStr">
        <is>
          <t>https://www.airinnovationsllc.com/</t>
        </is>
      </c>
      <c r="J40" s="1" t="inlineStr">
        <is>
          <t>· Closes 5 pm</t>
        </is>
      </c>
      <c r="K40" s="2" t="inlineStr">
        <is>
          <t>https://www.google.com/maps/dir//Air+Innovations+LLC,+12507+Telge+Rd,+Cypress,+TX+77429,+United+States/data=!4m6!4m5!1m1!4e2!1m2!1m1!1s0x8640d5614405a12d:0x6fff0855a4e4ce7d?sa=X&amp;ved=1t:57443&amp;ictx=111</t>
        </is>
      </c>
      <c r="L40" s="1" t="inlineStr">
        <is>
          <t>Directions</t>
        </is>
      </c>
    </row>
    <row r="41" ht="15.75" customHeight="1" s="48">
      <c r="A41" s="1" t="inlineStr">
        <is>
          <t>Houston HVAC</t>
        </is>
      </c>
      <c r="B41" s="1" t="inlineStr">
        <is>
          <t>· HVAC contractor</t>
        </is>
      </c>
      <c r="C41" s="1" t="inlineStr">
        <is>
          <t>4,9</t>
        </is>
      </c>
      <c r="D41" s="1" t="n">
        <v>-39</v>
      </c>
      <c r="E41" s="1" t="inlineStr">
        <is>
          <t>25+ years in business · Houston, TX, United States</t>
        </is>
      </c>
      <c r="F41" s="1" t="inlineStr">
        <is>
          <t>· +1 346-772-7120</t>
        </is>
      </c>
      <c r="G41" s="1" t="inlineStr">
        <is>
          <t>Open</t>
        </is>
      </c>
      <c r="H41" s="1" t="inlineStr">
        <is>
          <t>"Ronald was highly professional and resolved the issue promptly."</t>
        </is>
      </c>
      <c r="I41" s="2" t="inlineStr">
        <is>
          <t>http://www.callhoustonhvac.com/</t>
        </is>
      </c>
      <c r="J41" s="1" t="inlineStr">
        <is>
          <t>· Closes 8 pm</t>
        </is>
      </c>
      <c r="K41" s="2" t="inlineStr">
        <is>
          <t>https://www.google.com/maps/dir//Houston+HVAC,+7629+Elm+St,+Houston,+TX+77023,+United+States/data=!4m6!4m5!1m1!4e2!1m2!1m1!1s0x2594b6871e12ac3d:0xef70c84108303f7e?sa=X&amp;ved=1t:57443&amp;ictx=111</t>
        </is>
      </c>
      <c r="L41" s="1" t="inlineStr">
        <is>
          <t>Directions</t>
        </is>
      </c>
    </row>
    <row r="42" ht="15.75" customHeight="1" s="48">
      <c r="A42" s="1" t="inlineStr">
        <is>
          <t>HVAC Repair Champions</t>
        </is>
      </c>
      <c r="B42" s="1" t="inlineStr">
        <is>
          <t>· HVAC contractor</t>
        </is>
      </c>
      <c r="C42" s="1" t="inlineStr">
        <is>
          <t>5,0</t>
        </is>
      </c>
      <c r="D42" s="1" t="n">
        <v>-25</v>
      </c>
      <c r="E42" s="1" t="inlineStr">
        <is>
          <t>7+ years in business · Houston, TX, United States</t>
        </is>
      </c>
      <c r="F42" s="1" t="inlineStr">
        <is>
          <t>· +1 713-885-9043</t>
        </is>
      </c>
      <c r="G42" s="1" t="inlineStr">
        <is>
          <t>Open</t>
        </is>
      </c>
      <c r="H42" s="1" t="inlineStr">
        <is>
          <t>"Good customer service, work finished in a timely manner"</t>
        </is>
      </c>
      <c r="I42" s="2" t="inlineStr">
        <is>
          <t>https://usmapid.org/details/hvac-repair-champions-ChIJKZN</t>
        </is>
      </c>
      <c r="J42" s="1" t="inlineStr">
        <is>
          <t>· Closes 8 pm</t>
        </is>
      </c>
      <c r="K42" s="2" t="inlineStr">
        <is>
          <t>https://www.google.com/maps/dir//HVAC+Repair+Champions,+2401+San+Jacinto+St,+Houston,+TX+77002,+United+States/data=!4m6!4m5!1m1!4e2!1m2!1m1!1s0x8640bf4dda569329:0x6553cdf0f0fba796?sa=X&amp;ved=1t:57443&amp;ictx=111</t>
        </is>
      </c>
      <c r="L42" s="1" t="inlineStr">
        <is>
          <t>Directions</t>
        </is>
      </c>
    </row>
    <row r="43" ht="15.75" customHeight="1" s="48">
      <c r="A43" s="1" t="inlineStr">
        <is>
          <t>OSrXXb</t>
        </is>
      </c>
      <c r="B43" s="1" t="inlineStr">
        <is>
          <t>rllt__details</t>
        </is>
      </c>
      <c r="C43" s="1" t="inlineStr">
        <is>
          <t>yi40Hd</t>
        </is>
      </c>
      <c r="D43" s="1" t="inlineStr">
        <is>
          <t>RDApEe</t>
        </is>
      </c>
      <c r="E43" s="1" t="inlineStr">
        <is>
          <t>rllt__details 2</t>
        </is>
      </c>
      <c r="F43" s="1" t="inlineStr">
        <is>
          <t>rllt__details 3</t>
        </is>
      </c>
      <c r="G43" s="1" t="inlineStr">
        <is>
          <t>rllt__details 4</t>
        </is>
      </c>
      <c r="H43" s="1" t="inlineStr">
        <is>
          <t>rllt__details 5</t>
        </is>
      </c>
      <c r="I43" s="1" t="inlineStr">
        <is>
          <t>uDyWh</t>
        </is>
      </c>
      <c r="J43" s="1" t="inlineStr">
        <is>
          <t>yYlJEf href</t>
        </is>
      </c>
      <c r="K43" s="1" t="inlineStr">
        <is>
          <t>QuU3Wb 2</t>
        </is>
      </c>
      <c r="L43" s="1" t="inlineStr">
        <is>
          <t>yYlJEf href 2</t>
        </is>
      </c>
      <c r="M43" s="1" t="inlineStr">
        <is>
          <t>QuU3Wb 3</t>
        </is>
      </c>
    </row>
    <row r="44" ht="15.75" customHeight="1" s="48">
      <c r="A44" s="1" t="inlineStr">
        <is>
          <t>Houk Air Conditioning Houston</t>
        </is>
      </c>
      <c r="B44" s="1" t="inlineStr">
        <is>
          <t>· HVAC contractor</t>
        </is>
      </c>
      <c r="C44" s="1" t="inlineStr">
        <is>
          <t>4,5</t>
        </is>
      </c>
      <c r="D44" s="1" t="n">
        <v>-703</v>
      </c>
      <c r="E44" s="1" t="inlineStr">
        <is>
          <t>60+ years in business · Houston, TX, United States</t>
        </is>
      </c>
      <c r="F44" s="1" t="inlineStr">
        <is>
          <t>· +1 409-345-3244</t>
        </is>
      </c>
      <c r="G44" s="1" t="inlineStr">
        <is>
          <t>· Closes 5 pm</t>
        </is>
      </c>
      <c r="H44" s="1" t="inlineStr">
        <is>
          <t>Open</t>
        </is>
      </c>
      <c r="I44" s="1" t="inlineStr">
        <is>
          <t>"Fixed the problem within 30 minutes and had cool  right after."</t>
        </is>
      </c>
      <c r="J44" s="2" t="inlineStr">
        <is>
          <t>https://houkac.com/service-areas/houston/?utm_source=gbp&amp;utm_medium=organic</t>
        </is>
      </c>
      <c r="K44" s="1" t="inlineStr">
        <is>
          <t>Website</t>
        </is>
      </c>
      <c r="L44" s="2" t="inlineStr">
        <is>
          <t>https://www.google.com/maps/dir//Houk+Air+Conditioning+Houston,+18720+Intercontinental+Crossing+Dr,+Houston,+TX+77032,+United+States/data=!4m6!4m5!1m1!4e2!1m2!1m1!1s0x8640be0e41536659:0xbc81c52283af6d94?sa=X&amp;ved=1t:57443&amp;ictx=111</t>
        </is>
      </c>
      <c r="M44" s="1" t="inlineStr">
        <is>
          <t>Directions</t>
        </is>
      </c>
    </row>
    <row r="45" ht="15.75" customHeight="1" s="48">
      <c r="A45" s="1" t="inlineStr">
        <is>
          <t>68 Degrees HVAC</t>
        </is>
      </c>
      <c r="B45" s="1" t="inlineStr">
        <is>
          <t>· HVAC contractor</t>
        </is>
      </c>
      <c r="C45" s="1" t="inlineStr">
        <is>
          <t>5,0</t>
        </is>
      </c>
      <c r="D45" s="1" t="n">
        <v>-236</v>
      </c>
      <c r="E45" s="1" t="inlineStr">
        <is>
          <t>5+ years in business</t>
        </is>
      </c>
      <c r="F45" s="1" t="inlineStr">
        <is>
          <t>· +1 713-367-7985</t>
        </is>
      </c>
      <c r="G45" s="1" t="inlineStr">
        <is>
          <t>· Closes 5 pm</t>
        </is>
      </c>
      <c r="H45" s="1" t="inlineStr">
        <is>
          <t>Open</t>
        </is>
      </c>
      <c r="I45" s="1" t="inlineStr">
        <is>
          <t>"He had the AC back up and running within 15 minutes."</t>
        </is>
      </c>
      <c r="J45" s="2" t="inlineStr">
        <is>
          <t>https://68degreeshvac.com/</t>
        </is>
      </c>
      <c r="K45" s="1" t="inlineStr">
        <is>
          <t>Website</t>
        </is>
      </c>
    </row>
    <row r="46" ht="15.75" customHeight="1" s="48">
      <c r="A46" s="1" t="inlineStr">
        <is>
          <t>Baker-Jones Co. Inc</t>
        </is>
      </c>
      <c r="B46" s="1" t="inlineStr">
        <is>
          <t>· HVAC contractor</t>
        </is>
      </c>
      <c r="C46" s="1" t="inlineStr">
        <is>
          <t>5,0</t>
        </is>
      </c>
      <c r="D46" s="1" t="n">
        <v>-182</v>
      </c>
      <c r="E46" s="1" t="inlineStr">
        <is>
          <t>70+ years in business · Houston, TX, United States</t>
        </is>
      </c>
      <c r="F46" s="1" t="inlineStr">
        <is>
          <t>· +1 713-529-3418</t>
        </is>
      </c>
      <c r="G46" s="1" t="inlineStr">
        <is>
          <t>· Closes 5 pm</t>
        </is>
      </c>
      <c r="H46" s="1" t="inlineStr">
        <is>
          <t>Open</t>
        </is>
      </c>
      <c r="I46" s="1" t="inlineStr">
        <is>
          <t>"Their technicians are courteous, knowledgeable and efficient."</t>
        </is>
      </c>
      <c r="J46" s="2" t="inlineStr">
        <is>
          <t>http://baker-jones.com/</t>
        </is>
      </c>
      <c r="K46" s="1" t="inlineStr">
        <is>
          <t>Website</t>
        </is>
      </c>
      <c r="L46" s="2" t="inlineStr">
        <is>
          <t>https://www.google.com/maps/dir//Baker-Jones+Co.+Inc,+6314+St+Augustine+St,+Houston,+TX+77021,+United+States/data=!4m6!4m5!1m1!4e2!1m2!1m1!1s0x8640bf7112955d49:0x830db26f493f4f25?sa=X&amp;ved=1t:57443&amp;ictx=111</t>
        </is>
      </c>
      <c r="M46" s="1" t="inlineStr">
        <is>
          <t>Directions</t>
        </is>
      </c>
    </row>
    <row r="47" ht="15.75" customHeight="1" s="48">
      <c r="A47" s="1" t="inlineStr">
        <is>
          <t>comfort on Rs</t>
        </is>
      </c>
      <c r="B47" s="1" t="inlineStr">
        <is>
          <t>· HVAC contractor</t>
        </is>
      </c>
      <c r="C47" s="1" t="inlineStr">
        <is>
          <t>5,0</t>
        </is>
      </c>
      <c r="D47" s="1" t="n">
        <v>-24</v>
      </c>
      <c r="E47" s="1" t="inlineStr">
        <is>
          <t>· +1 281-818-7950</t>
        </is>
      </c>
      <c r="H47" s="1" t="inlineStr">
        <is>
          <t>Open 24 hours</t>
        </is>
      </c>
      <c r="I47" s="1" t="inlineStr">
        <is>
          <t>"The work was completed efficiently, and my AC is now running perfectly."</t>
        </is>
      </c>
      <c r="J47" s="2" t="inlineStr">
        <is>
          <t>https://www.comfortonrs.com/</t>
        </is>
      </c>
      <c r="K47" s="1" t="inlineStr">
        <is>
          <t>Website</t>
        </is>
      </c>
    </row>
    <row r="48" ht="15.75" customHeight="1" s="48">
      <c r="A48" s="1" t="inlineStr">
        <is>
          <t>Houston Heating And Air Conditioning</t>
        </is>
      </c>
      <c r="B48" s="1" t="inlineStr">
        <is>
          <t>· HVAC contractor</t>
        </is>
      </c>
      <c r="C48" s="1" t="inlineStr">
        <is>
          <t>5,0</t>
        </is>
      </c>
      <c r="D48" s="1" t="n">
        <v>-33</v>
      </c>
      <c r="E48" s="1" t="inlineStr">
        <is>
          <t>15+ years in business · Houston, TX, United States</t>
        </is>
      </c>
      <c r="F48" s="1" t="inlineStr">
        <is>
          <t>· +1 281-598-7907</t>
        </is>
      </c>
      <c r="G48" s="1" t="inlineStr">
        <is>
          <t>· Closes 10 pm</t>
        </is>
      </c>
      <c r="H48" s="1" t="inlineStr">
        <is>
          <t>Open</t>
        </is>
      </c>
      <c r="L48" s="2" t="inlineStr">
        <is>
          <t>https://www.google.com/maps/dir//Houston+Heating+And+Air+Conditioning,+4518+Washington+Ave,+Houston,+TX+77007,+United+States/data=!4m6!4m5!1m1!4e2!1m2!1m1!1s0x8640c3187d7a7339:0x58a34f6743ec296e?sa=X&amp;ved=1t:57443&amp;ictx=111</t>
        </is>
      </c>
      <c r="M48" s="1" t="inlineStr">
        <is>
          <t>Directions</t>
        </is>
      </c>
    </row>
    <row r="49" ht="15.75" customHeight="1" s="48">
      <c r="A49" s="1" t="inlineStr">
        <is>
          <t>Aire Serv of Houston Midtown</t>
        </is>
      </c>
      <c r="B49" s="1" t="inlineStr">
        <is>
          <t>· HVAC contractor</t>
        </is>
      </c>
      <c r="C49" s="1" t="inlineStr">
        <is>
          <t>5,0</t>
        </is>
      </c>
      <c r="D49" s="1" t="n">
        <v>-21</v>
      </c>
      <c r="E49" s="1" t="inlineStr">
        <is>
          <t>Houston, TX, United States</t>
        </is>
      </c>
      <c r="F49" s="1" t="inlineStr">
        <is>
          <t>· +1 832-775-8465</t>
        </is>
      </c>
      <c r="G49" s="1" t="inlineStr">
        <is>
          <t>· Closes 5 pm</t>
        </is>
      </c>
      <c r="H49" s="1" t="inlineStr">
        <is>
          <t>Open</t>
        </is>
      </c>
      <c r="I49" s="1" t="inlineStr">
        <is>
          <t>"The crew was extremely knowledgeable, and diagnosed the issue right away!"</t>
        </is>
      </c>
      <c r="J49" s="2" t="inlineStr">
        <is>
          <t>https://www.aireserv.com/houston-midtown/?cid=LSTL_ASV-US000187&amp;utm_source=gmb&amp;utm_campaign=local&amp;utm_medium=organic</t>
        </is>
      </c>
      <c r="K49" s="1" t="inlineStr">
        <is>
          <t>Website</t>
        </is>
      </c>
      <c r="L49" s="2" t="inlineStr">
        <is>
          <t>https://www.google.com/maps/dir//Aire+Serv+of+Houston+Midtown,+401+Franklin+St+Suite+2400-107,+Houston,+TX+77201,+United+States/data=!4m6!4m5!1m1!4e2!1m2!1m1!1s0x8640bf73375d6ce5:0x5e6bbd7902a4131d?sa=X&amp;ved=1t:57443&amp;ictx=111</t>
        </is>
      </c>
      <c r="M49" s="1" t="inlineStr">
        <is>
          <t>Directions</t>
        </is>
      </c>
    </row>
    <row r="50" ht="15.75" customHeight="1" s="48">
      <c r="A50" s="1" t="inlineStr">
        <is>
          <t>Got Flow Plumbing &amp; AC Services</t>
        </is>
      </c>
      <c r="B50" s="1" t="inlineStr">
        <is>
          <t>· HVAC contractor</t>
        </is>
      </c>
      <c r="C50" s="1" t="inlineStr">
        <is>
          <t>4,9</t>
        </is>
      </c>
      <c r="D50" s="1" t="n">
        <v>-388</v>
      </c>
      <c r="E50" s="1" t="inlineStr">
        <is>
          <t>7+ years in business</t>
        </is>
      </c>
      <c r="F50" s="1" t="inlineStr">
        <is>
          <t>· +1 281-607-4700</t>
        </is>
      </c>
      <c r="G50" s="1" t="inlineStr">
        <is>
          <t>· Closes 5 pm</t>
        </is>
      </c>
      <c r="H50" s="1" t="inlineStr">
        <is>
          <t>Open</t>
        </is>
      </c>
      <c r="I50" s="1" t="inlineStr">
        <is>
          <t>"Fixed the problem in a timely manner and very professional."</t>
        </is>
      </c>
      <c r="J50" s="2" t="inlineStr">
        <is>
          <t>https://www.gotflowservices.com/</t>
        </is>
      </c>
      <c r="K50" s="1" t="inlineStr">
        <is>
          <t>Website</t>
        </is>
      </c>
    </row>
    <row r="51" ht="15.75" customHeight="1" s="48">
      <c r="A51" s="1" t="inlineStr">
        <is>
          <t>AAD Heating &amp; Air Conditioning</t>
        </is>
      </c>
      <c r="B51" s="1" t="inlineStr">
        <is>
          <t>· HVAC contractor</t>
        </is>
      </c>
      <c r="C51" s="1" t="inlineStr">
        <is>
          <t>5,0</t>
        </is>
      </c>
      <c r="D51" s="1" t="n">
        <v>-43</v>
      </c>
      <c r="E51" s="1" t="inlineStr">
        <is>
          <t>5+ years in business · Houston, TX, United States</t>
        </is>
      </c>
      <c r="F51" s="1" t="inlineStr">
        <is>
          <t>· +1 713-379-1862</t>
        </is>
      </c>
      <c r="H51" s="1" t="inlineStr">
        <is>
          <t>Open 24 hours</t>
        </is>
      </c>
      <c r="I51" s="1" t="inlineStr">
        <is>
          <t>"Matt was cool and diagnosed the issue quickly."</t>
        </is>
      </c>
      <c r="J51" s="2" t="inlineStr">
        <is>
          <t>https://aadheatingairconditioning.xyz/</t>
        </is>
      </c>
      <c r="K51" s="1" t="inlineStr">
        <is>
          <t>Website</t>
        </is>
      </c>
      <c r="L51" s="2" t="inlineStr">
        <is>
          <t>https://www.google.com/maps/dir//AAD+Heating+%26+Air+Conditioning,+440+Louisiana+St,+Houston,+TX+77002,+United+States/data=!4m6!4m5!1m1!4e2!1m2!1m1!1s0x8640bf5ebd18f095:0x7dd788c13596f391?sa=X&amp;ved=1t:57443&amp;ictx=111</t>
        </is>
      </c>
      <c r="M51" s="1" t="inlineStr">
        <is>
          <t>Directions</t>
        </is>
      </c>
    </row>
    <row r="52" ht="15.75" customHeight="1" s="48">
      <c r="A52" s="1" t="inlineStr">
        <is>
          <t>Houston Air Conditioning AC &amp; Heating Repair Co.</t>
        </is>
      </c>
      <c r="B52" s="1" t="inlineStr">
        <is>
          <t>· HVAC contractor</t>
        </is>
      </c>
      <c r="C52" s="1" t="inlineStr">
        <is>
          <t>4,8</t>
        </is>
      </c>
      <c r="D52" s="1" t="n">
        <v>-19</v>
      </c>
      <c r="E52" s="1" t="inlineStr">
        <is>
          <t>3+ years in business · Houston, TX, United States</t>
        </is>
      </c>
      <c r="F52" s="1" t="inlineStr">
        <is>
          <t>· +1 346-460-6556</t>
        </is>
      </c>
      <c r="G52" s="1" t="inlineStr">
        <is>
          <t>· Closes 8 pm</t>
        </is>
      </c>
      <c r="H52" s="1" t="inlineStr">
        <is>
          <t>Open</t>
        </is>
      </c>
      <c r="I52" s="1" t="inlineStr">
        <is>
          <t>"The price was very reasonable and the service was incredible."</t>
        </is>
      </c>
      <c r="J52" s="2" t="inlineStr">
        <is>
          <t>https://airconditioningandheatingofhoustonco.com/?utm_source=google&amp;utm_medium=organic</t>
        </is>
      </c>
      <c r="K52" s="1" t="inlineStr">
        <is>
          <t>Website</t>
        </is>
      </c>
      <c r="L52" s="2" t="inlineStr">
        <is>
          <t>https://www.google.com/maps/dir//Houston+Air+Conditioning+AC+%26+Heating+Repair+Co.,+7033+Avenue+N,+Houston,+TX+77011,+United+States/data=!4m6!4m5!1m1!4e2!1m2!1m1!1s0x89c243699813e003:0x24f42bb84eda112e?sa=X&amp;ved=1t:57443&amp;ictx=111</t>
        </is>
      </c>
      <c r="M52" s="1" t="inlineStr">
        <is>
          <t>Directions</t>
        </is>
      </c>
    </row>
    <row r="53" ht="15.75" customHeight="1" s="48">
      <c r="A53" s="1" t="inlineStr">
        <is>
          <t>Morgan Pro Services</t>
        </is>
      </c>
      <c r="B53" s="1" t="inlineStr">
        <is>
          <t>· HVAC contractor</t>
        </is>
      </c>
      <c r="C53" s="1" t="inlineStr">
        <is>
          <t>4,9</t>
        </is>
      </c>
      <c r="D53" s="1" t="n">
        <v>-118</v>
      </c>
      <c r="E53" s="1" t="inlineStr">
        <is>
          <t>30+ years in business · Houston, TX, United States</t>
        </is>
      </c>
      <c r="F53" s="1" t="inlineStr">
        <is>
          <t>· +1 713-466-7426</t>
        </is>
      </c>
      <c r="H53" s="1" t="inlineStr">
        <is>
          <t>Open 24 hours</t>
        </is>
      </c>
      <c r="I53" s="1" t="inlineStr">
        <is>
          <t>"Their technician was prompt, friendly, professional and fast."</t>
        </is>
      </c>
      <c r="J53" s="2" t="inlineStr">
        <is>
          <t>https://www.morganproservices.com/</t>
        </is>
      </c>
      <c r="K53" s="1" t="inlineStr">
        <is>
          <t>Website</t>
        </is>
      </c>
      <c r="L53" s="2" t="inlineStr">
        <is>
          <t>https://www.google.com/maps/dir//Morgan+Pro+Services,+5200+Mitchelldale+St+Ste.+F26,+Houston,+TX+77092,+United+States/data=!4m6!4m5!1m1!4e2!1m2!1m1!1s0x864127af43ca5b63:0xfd2c6f5f20eca467?sa=X&amp;ved=1t:57443&amp;ictx=111</t>
        </is>
      </c>
      <c r="M53" s="1" t="inlineStr">
        <is>
          <t>Directions</t>
        </is>
      </c>
    </row>
    <row r="54" ht="15.75" customHeight="1" s="48">
      <c r="A54" s="1" t="inlineStr">
        <is>
          <t>Houston Heating and Air Conditioning</t>
        </is>
      </c>
      <c r="B54" s="1" t="inlineStr">
        <is>
          <t>· HVAC contractor</t>
        </is>
      </c>
      <c r="C54" s="1" t="inlineStr">
        <is>
          <t>5,0</t>
        </is>
      </c>
      <c r="D54" s="1" t="n">
        <v>-19</v>
      </c>
      <c r="E54" s="1" t="inlineStr">
        <is>
          <t>10+ years in business · Houston, TX, United States</t>
        </is>
      </c>
      <c r="F54" s="1" t="inlineStr">
        <is>
          <t>· +1 346-449-6877</t>
        </is>
      </c>
      <c r="G54" s="1" t="inlineStr">
        <is>
          <t>· Closes 8 pm</t>
        </is>
      </c>
      <c r="H54" s="1" t="inlineStr">
        <is>
          <t>Open</t>
        </is>
      </c>
      <c r="I54" s="1" t="inlineStr">
        <is>
          <t>"great service, great value, fixes things instead of replacing things"</t>
        </is>
      </c>
      <c r="L54" s="2" t="inlineStr">
        <is>
          <t>https://www.google.com/maps/dir//Houston+Heating+and+Air+Conditioning,+920+Memorial+Heights+Dr,+Houston,+TX+77007,+United+States/data=!4m6!4m5!1m1!4e2!1m2!1m1!1s0x863f78cb57ff9123:0xc1239ac912d2a2f9?sa=X&amp;ved=1t:57443&amp;ictx=111</t>
        </is>
      </c>
      <c r="M54" s="1" t="inlineStr">
        <is>
          <t>Directions</t>
        </is>
      </c>
    </row>
    <row r="55" ht="15.75" customHeight="1" s="48">
      <c r="A55" s="1" t="inlineStr">
        <is>
          <t>Houston Heating &amp; Cooling Air Conditioning</t>
        </is>
      </c>
      <c r="B55" s="1" t="inlineStr">
        <is>
          <t>· HVAC contractor</t>
        </is>
      </c>
      <c r="C55" s="1" t="inlineStr">
        <is>
          <t>4,7</t>
        </is>
      </c>
      <c r="D55" s="1" t="n">
        <v>-120</v>
      </c>
      <c r="E55" s="1" t="inlineStr">
        <is>
          <t>10+ years in business · Houston, TX, United States</t>
        </is>
      </c>
      <c r="F55" s="1" t="inlineStr">
        <is>
          <t>· +1 713-280-5840</t>
        </is>
      </c>
      <c r="G55" s="1" t="inlineStr">
        <is>
          <t>· Closes 8 pm</t>
        </is>
      </c>
      <c r="H55" s="1" t="inlineStr">
        <is>
          <t>Open</t>
        </is>
      </c>
      <c r="I55" s="1" t="inlineStr">
        <is>
          <t>"Competence, expertise, courtesy and very fair pricing."</t>
        </is>
      </c>
      <c r="L55" s="2" t="inlineStr">
        <is>
          <t>https://www.google.com/maps/dir//Houston+Heating+%26+Cooling+Air+Conditioning,+1919+Collingsworth+St,+Houston,+TX+77009,+United+States/data=!4m6!4m5!1m1!4e2!1m2!1m1!1s0x863eb1484515a5df:0x9dc08cafd8abba50?sa=X&amp;ved=1t:57443&amp;ictx=111</t>
        </is>
      </c>
      <c r="M55" s="1" t="inlineStr">
        <is>
          <t>Directions</t>
        </is>
      </c>
    </row>
    <row r="56" ht="15.75" customHeight="1" s="48">
      <c r="A56" s="1" t="inlineStr">
        <is>
          <t>HVAC Repair &amp; Air Duct Cleaning Pros</t>
        </is>
      </c>
      <c r="B56" s="1" t="inlineStr">
        <is>
          <t>· HVAC contractor</t>
        </is>
      </c>
      <c r="C56" s="1" t="inlineStr">
        <is>
          <t>5,0</t>
        </is>
      </c>
      <c r="D56" s="1" t="n">
        <v>-17</v>
      </c>
      <c r="E56" s="1" t="inlineStr">
        <is>
          <t>Houston, TX, United States</t>
        </is>
      </c>
      <c r="F56" s="1" t="inlineStr">
        <is>
          <t>· +1 713-832-9894</t>
        </is>
      </c>
      <c r="G56" s="1" t="inlineStr">
        <is>
          <t>· Closes 10 pm</t>
        </is>
      </c>
      <c r="H56" s="1" t="inlineStr">
        <is>
          <t>Open</t>
        </is>
      </c>
      <c r="I56" s="1" t="inlineStr">
        <is>
          <t>"Great service fast and reliable."</t>
        </is>
      </c>
      <c r="L56" s="2" t="inlineStr">
        <is>
          <t>https://www.google.com/maps/dir//HVAC+Repair+%26+Air+Duct+Cleaning+Pros,+2810+Corder+St,+Houston,+TX+77054,+United+States/data=!4m6!4m5!1m1!4e2!1m2!1m1!1s0x8640bfbe30855d81:0xddd50068a2ecfac3?sa=X&amp;ved=1t:57443&amp;ictx=111</t>
        </is>
      </c>
      <c r="M56" s="1" t="inlineStr">
        <is>
          <t>Directions</t>
        </is>
      </c>
    </row>
    <row r="57" ht="15.75" customHeight="1" s="48">
      <c r="A57" s="1" t="inlineStr">
        <is>
          <t>Top Notch AC Repair Houston</t>
        </is>
      </c>
      <c r="B57" s="1" t="inlineStr">
        <is>
          <t>· Air conditioning repair service</t>
        </is>
      </c>
      <c r="C57" s="1" t="inlineStr">
        <is>
          <t>5,0</t>
        </is>
      </c>
      <c r="D57" s="1" t="n">
        <v>-53</v>
      </c>
      <c r="E57" s="1" t="inlineStr">
        <is>
          <t>3+ years in business · Houston, TX, United States</t>
        </is>
      </c>
      <c r="F57" s="1" t="inlineStr">
        <is>
          <t>· +1 346-637-4055</t>
        </is>
      </c>
      <c r="G57" s="1" t="inlineStr">
        <is>
          <t>· Closes 7 pm</t>
        </is>
      </c>
      <c r="H57" s="1" t="inlineStr">
        <is>
          <t>Open</t>
        </is>
      </c>
      <c r="J57" s="2" t="inlineStr">
        <is>
          <t>http://acrepairhoustontx.com/</t>
        </is>
      </c>
      <c r="K57" s="1" t="inlineStr">
        <is>
          <t>Website</t>
        </is>
      </c>
      <c r="L57" s="2" t="inlineStr">
        <is>
          <t>https://www.google.com/maps/dir//Top+Notch+AC+Repair+Houston,+945+Capitol+St,+Houston,+TX+77002,+United+States/data=!4m6!4m5!1m1!4e2!1m2!1m1!1s0x23c6faf6c8785e1b:0x6a4b2e1bc43e19df?sa=X&amp;ved=1t:57443&amp;ictx=111</t>
        </is>
      </c>
      <c r="M57" s="1" t="inlineStr">
        <is>
          <t>Directions</t>
        </is>
      </c>
    </row>
    <row r="58" ht="15.75" customHeight="1" s="48">
      <c r="A58" s="1" t="inlineStr">
        <is>
          <t>Newmark Air Conditioning</t>
        </is>
      </c>
      <c r="B58" s="1" t="inlineStr">
        <is>
          <t>· HVAC contractor</t>
        </is>
      </c>
      <c r="C58" s="1" t="inlineStr">
        <is>
          <t>5,0</t>
        </is>
      </c>
      <c r="D58" s="1" t="n">
        <v>-30</v>
      </c>
      <c r="E58" s="1" t="inlineStr">
        <is>
          <t>3+ years in business · Houston, TX, United States</t>
        </is>
      </c>
      <c r="F58" s="1" t="inlineStr">
        <is>
          <t>· +1 713-804-2121</t>
        </is>
      </c>
      <c r="H58" s="1" t="inlineStr">
        <is>
          <t>Open 24 hours</t>
        </is>
      </c>
      <c r="I58" s="1" t="inlineStr">
        <is>
          <t>"I highly recommend Newmark if you need a new AC system."</t>
        </is>
      </c>
      <c r="J58" s="2" t="inlineStr">
        <is>
          <t>http://www.newmarkac.com/</t>
        </is>
      </c>
      <c r="K58" s="1" t="inlineStr">
        <is>
          <t>Website</t>
        </is>
      </c>
      <c r="L58" s="2" t="inlineStr">
        <is>
          <t>https://www.google.com/maps/dir//Newmark+Air+Conditioning,+2925+Richmond+Ave.,+Houston,+TX+77098,+United+States/data=!4m6!4m5!1m1!4e2!1m2!1m1!1s0x8640c16345e7ae1b:0xff295bfc9797f1dc?sa=X&amp;ved=1t:57443&amp;ictx=111</t>
        </is>
      </c>
      <c r="M58" s="1" t="inlineStr">
        <is>
          <t>Directions</t>
        </is>
      </c>
    </row>
    <row r="59" ht="15.75" customHeight="1" s="48">
      <c r="A59" s="1" t="inlineStr">
        <is>
          <t>Air Mobile Plumbing, Air &amp; Refrigeration</t>
        </is>
      </c>
      <c r="B59" s="1" t="inlineStr">
        <is>
          <t>· HVAC contractor</t>
        </is>
      </c>
      <c r="C59" s="1" t="inlineStr">
        <is>
          <t>4,9</t>
        </is>
      </c>
      <c r="D59" s="1" t="n">
        <v>-54</v>
      </c>
      <c r="E59" s="1" t="inlineStr">
        <is>
          <t>25+ years in business</t>
        </is>
      </c>
      <c r="F59" s="1" t="inlineStr">
        <is>
          <t>· +1 832-900-2882</t>
        </is>
      </c>
      <c r="G59" s="1" t="inlineStr">
        <is>
          <t>· Closes 6 pm</t>
        </is>
      </c>
      <c r="H59" s="1" t="inlineStr">
        <is>
          <t>Open</t>
        </is>
      </c>
      <c r="I59" s="1" t="inlineStr">
        <is>
          <t>"They are on time and fixed my AC unit just in time for this cold front."</t>
        </is>
      </c>
      <c r="J59" s="2" t="inlineStr">
        <is>
          <t>https://24hourrefrigeration.com/contact-us-houston/</t>
        </is>
      </c>
      <c r="K59" s="1" t="inlineStr">
        <is>
          <t>Website</t>
        </is>
      </c>
    </row>
    <row r="60" ht="15.75" customHeight="1" s="48">
      <c r="A60" s="1" t="inlineStr">
        <is>
          <t>High Performance Home Systems</t>
        </is>
      </c>
      <c r="B60" s="1" t="inlineStr">
        <is>
          <t>· HVAC contractor</t>
        </is>
      </c>
      <c r="C60" s="1" t="inlineStr">
        <is>
          <t>5,0</t>
        </is>
      </c>
      <c r="D60" s="1" t="n">
        <v>-66</v>
      </c>
      <c r="E60" s="1" t="inlineStr">
        <is>
          <t>10+ years in business · Houston, TX, United States</t>
        </is>
      </c>
      <c r="F60" s="1" t="inlineStr">
        <is>
          <t>· +1 713-367-0098</t>
        </is>
      </c>
      <c r="G60" s="1" t="inlineStr">
        <is>
          <t>· Closes 5 pm</t>
        </is>
      </c>
      <c r="H60" s="1" t="inlineStr">
        <is>
          <t>Open</t>
        </is>
      </c>
      <c r="I60" s="1" t="inlineStr">
        <is>
          <t>"... did an excellent job working on my  system."</t>
        </is>
      </c>
      <c r="J60" s="2" t="inlineStr">
        <is>
          <t>https://highperformancehomesystems.com/</t>
        </is>
      </c>
      <c r="K60" s="1" t="inlineStr">
        <is>
          <t>Website</t>
        </is>
      </c>
      <c r="L60" s="2" t="inlineStr">
        <is>
          <t>https://www.google.com/maps/dir//High+Performance+Home+Systems,+963+Wakefield+Dr,+Houston,+TX+77018,+United+States/data=!4m6!4m5!1m1!4e2!1m2!1m1!1s0x8640c751fdf61699:0x69d74c9de0514c?sa=X&amp;ved=1t:57443&amp;ictx=111</t>
        </is>
      </c>
      <c r="M60" s="1" t="inlineStr">
        <is>
          <t>Directions</t>
        </is>
      </c>
    </row>
    <row r="61" ht="15.75" customHeight="1" s="48">
      <c r="A61" s="1" t="inlineStr">
        <is>
          <t>Absolute Air Conditioning and Heating</t>
        </is>
      </c>
      <c r="B61" s="1" t="inlineStr">
        <is>
          <t>· HVAC contractor</t>
        </is>
      </c>
      <c r="C61" s="1" t="inlineStr">
        <is>
          <t>5,0</t>
        </is>
      </c>
      <c r="D61" s="1" t="n">
        <v>-21</v>
      </c>
      <c r="E61" s="1" t="inlineStr">
        <is>
          <t>· +1 281-857-6712</t>
        </is>
      </c>
      <c r="G61" s="1" t="inlineStr">
        <is>
          <t>· Closes 6 pm</t>
        </is>
      </c>
      <c r="H61" s="1" t="inlineStr">
        <is>
          <t>Open</t>
        </is>
      </c>
      <c r="I61" s="1" t="inlineStr">
        <is>
          <t>"Marcus and his team did an excellent job in replacing my a/c unit."</t>
        </is>
      </c>
      <c r="J61" s="2" t="inlineStr">
        <is>
          <t>https://absoluteacandheatingtx.com/</t>
        </is>
      </c>
      <c r="K61" s="1" t="inlineStr">
        <is>
          <t>Website</t>
        </is>
      </c>
    </row>
    <row r="62" ht="15.75" customHeight="1" s="48">
      <c r="A62" s="1" t="inlineStr">
        <is>
          <t>Blueleaf Air Conditioning &amp; Heating</t>
        </is>
      </c>
      <c r="B62" s="1" t="inlineStr">
        <is>
          <t>· HVAC contractor</t>
        </is>
      </c>
      <c r="C62" s="1" t="inlineStr">
        <is>
          <t>4,6</t>
        </is>
      </c>
      <c r="D62" s="1" t="n">
        <v>-60</v>
      </c>
      <c r="E62" s="1" t="inlineStr">
        <is>
          <t>10+ years in business · Houston, TX, United States</t>
        </is>
      </c>
      <c r="F62" s="1" t="inlineStr">
        <is>
          <t>· +1 713-295-9728</t>
        </is>
      </c>
      <c r="H62" s="1" t="inlineStr">
        <is>
          <t>Open 24 hours</t>
        </is>
      </c>
      <c r="I62" s="1" t="inlineStr">
        <is>
          <t>"He came before the estimated time and fixed my ac in only 1 hour."</t>
        </is>
      </c>
      <c r="J62" s="2" t="inlineStr">
        <is>
          <t>https://callblueleafhvac.com/</t>
        </is>
      </c>
      <c r="K62" s="1" t="inlineStr">
        <is>
          <t>Website</t>
        </is>
      </c>
      <c r="L62" s="2" t="inlineStr">
        <is>
          <t>https://www.google.com/maps/dir//Blueleaf+Air+Conditioning+%26+Heating,+5503+Almeda+Rd,+Houston,+TX+77004,+United+States/data=!4m6!4m5!1m1!4e2!1m2!1m1!1s0x864095e8d3eae0bf:0x7d5a5cf46e1dd3a4?sa=X&amp;ved=1t:57443&amp;ictx=111</t>
        </is>
      </c>
      <c r="M62" s="1" t="inlineStr">
        <is>
          <t>Directions</t>
        </is>
      </c>
    </row>
    <row r="63" ht="15.75" customHeight="1" s="48">
      <c r="A63" s="1" t="inlineStr">
        <is>
          <t>HVAC Repair &amp; Air Duct Contractors - Houston, TX</t>
        </is>
      </c>
      <c r="B63" s="1" t="inlineStr">
        <is>
          <t>· HVAC contractor</t>
        </is>
      </c>
      <c r="C63" s="1" t="inlineStr">
        <is>
          <t>4,8</t>
        </is>
      </c>
      <c r="D63" s="1" t="n">
        <v>-19</v>
      </c>
      <c r="E63" s="1" t="inlineStr">
        <is>
          <t>Houston, TX, United States</t>
        </is>
      </c>
      <c r="F63" s="1" t="inlineStr">
        <is>
          <t>· +1 713-379-9146</t>
        </is>
      </c>
      <c r="G63" s="1" t="inlineStr">
        <is>
          <t>· Closes 10 pm</t>
        </is>
      </c>
      <c r="H63" s="1" t="inlineStr">
        <is>
          <t>Open</t>
        </is>
      </c>
      <c r="I63" s="1" t="inlineStr">
        <is>
          <t>"Quality services great people"</t>
        </is>
      </c>
      <c r="L63" s="2" t="inlineStr">
        <is>
          <t>https://www.google.com/maps/dir//HVAC+Repair+%26+Air+Duct+Contractors+-+Houston,+TX,+6222+Gessner+Rd,+Houston,+TX+77041,+United+States/data=!4m6!4m5!1m1!4e2!1m2!1m1!1s0x8640cf9f1e72cda1:0x2d7212170282001f?sa=X&amp;ved=1t:57443&amp;ictx=111</t>
        </is>
      </c>
      <c r="M63" s="1" t="inlineStr">
        <is>
          <t>Directions</t>
        </is>
      </c>
    </row>
    <row r="64" ht="15.75" customHeight="1" s="48"/>
    <row r="65" ht="15.75" customHeight="1" s="48"/>
    <row r="66" ht="15.75" customHeight="1" s="48"/>
    <row r="67" ht="15.75" customHeight="1" s="48"/>
    <row r="68" ht="15.75" customHeight="1" s="48"/>
    <row r="69" ht="15.75" customHeight="1" s="48"/>
    <row r="70" ht="15.75" customHeight="1" s="48"/>
    <row r="71" ht="15.75" customHeight="1" s="48"/>
    <row r="72" ht="15.75" customHeight="1" s="48"/>
    <row r="73" ht="15.75" customHeight="1" s="48"/>
    <row r="74" ht="15.75" customHeight="1" s="48"/>
    <row r="75" ht="15.75" customHeight="1" s="48"/>
    <row r="76" ht="15.75" customHeight="1" s="48"/>
    <row r="77" ht="15.75" customHeight="1" s="48"/>
    <row r="78" ht="15.75" customHeight="1" s="48"/>
    <row r="79" ht="15.75" customHeight="1" s="48"/>
    <row r="80" ht="15.75" customHeight="1" s="48"/>
    <row r="81" ht="15.75" customHeight="1" s="48"/>
    <row r="82" ht="15.75" customHeight="1" s="48"/>
    <row r="83" ht="15.75" customHeight="1" s="48"/>
    <row r="84" ht="15.75" customHeight="1" s="48"/>
    <row r="85" ht="15.75" customHeight="1" s="48"/>
    <row r="86" ht="15.75" customHeight="1" s="48"/>
    <row r="87" ht="15.75" customHeight="1" s="48"/>
    <row r="88" ht="15.75" customHeight="1" s="48"/>
    <row r="89" ht="15.75" customHeight="1" s="48"/>
    <row r="90" ht="15.75" customHeight="1" s="48"/>
    <row r="91" ht="15.75" customHeight="1" s="48"/>
    <row r="92" ht="15.75" customHeight="1" s="48"/>
    <row r="93" ht="15.75" customHeight="1" s="48"/>
    <row r="94" ht="15.75" customHeight="1" s="48"/>
    <row r="95" ht="15.75" customHeight="1" s="48"/>
    <row r="96" ht="15.75" customHeight="1" s="48"/>
    <row r="97" ht="15.75" customHeight="1" s="48"/>
    <row r="98" ht="15.75" customHeight="1" s="48"/>
    <row r="99" ht="15.75" customHeight="1" s="48"/>
    <row r="100" ht="15.75" customHeight="1" s="48"/>
    <row r="101" ht="15.75" customHeight="1" s="48"/>
    <row r="102" ht="15.75" customHeight="1" s="48"/>
    <row r="103" ht="15.75" customHeight="1" s="48"/>
    <row r="104" ht="15.75" customHeight="1" s="48"/>
    <row r="105" ht="15.75" customHeight="1" s="48"/>
    <row r="106" ht="15.75" customHeight="1" s="48"/>
    <row r="107" ht="15.75" customHeight="1" s="48"/>
    <row r="108" ht="15.75" customHeight="1" s="48"/>
    <row r="109" ht="15.75" customHeight="1" s="48"/>
    <row r="110" ht="15.75" customHeight="1" s="48"/>
    <row r="111" ht="15.75" customHeight="1" s="48"/>
    <row r="112" ht="15.75" customHeight="1" s="48"/>
    <row r="113" ht="15.75" customHeight="1" s="48"/>
    <row r="114" ht="15.75" customHeight="1" s="48"/>
    <row r="115" ht="15.75" customHeight="1" s="48"/>
    <row r="116" ht="15.75" customHeight="1" s="48"/>
    <row r="117" ht="15.75" customHeight="1" s="48"/>
    <row r="118" ht="15.75" customHeight="1" s="48"/>
    <row r="119" ht="15.75" customHeight="1" s="48"/>
    <row r="120" ht="15.75" customHeight="1" s="48"/>
    <row r="121" ht="15.75" customHeight="1" s="48"/>
    <row r="122" ht="15.75" customHeight="1" s="48"/>
    <row r="123" ht="15.75" customHeight="1" s="48"/>
    <row r="124" ht="15.75" customHeight="1" s="48"/>
    <row r="125" ht="15.75" customHeight="1" s="48"/>
    <row r="126" ht="15.75" customHeight="1" s="48"/>
    <row r="127" ht="15.75" customHeight="1" s="48"/>
    <row r="128" ht="15.75" customHeight="1" s="48"/>
    <row r="129" ht="15.75" customHeight="1" s="48"/>
    <row r="130" ht="15.75" customHeight="1" s="48"/>
    <row r="131" ht="15.75" customHeight="1" s="48"/>
    <row r="132" ht="15.75" customHeight="1" s="48"/>
    <row r="133" ht="15.75" customHeight="1" s="48"/>
    <row r="134" ht="15.75" customHeight="1" s="48"/>
    <row r="135" ht="15.75" customHeight="1" s="48"/>
    <row r="136" ht="15.75" customHeight="1" s="48"/>
    <row r="137" ht="15.75" customHeight="1" s="48"/>
    <row r="138" ht="15.75" customHeight="1" s="48"/>
    <row r="139" ht="15.75" customHeight="1" s="48"/>
    <row r="140" ht="15.75" customHeight="1" s="48"/>
    <row r="141" ht="15.75" customHeight="1" s="48"/>
    <row r="142" ht="15.75" customHeight="1" s="48"/>
    <row r="143" ht="15.75" customHeight="1" s="48"/>
    <row r="144" ht="15.75" customHeight="1" s="48"/>
    <row r="145" ht="15.75" customHeight="1" s="48"/>
    <row r="146" ht="15.75" customHeight="1" s="48"/>
    <row r="147" ht="15.75" customHeight="1" s="48"/>
    <row r="148" ht="15.75" customHeight="1" s="48"/>
    <row r="149" ht="15.75" customHeight="1" s="48"/>
    <row r="150" ht="15.75" customHeight="1" s="48"/>
    <row r="151" ht="15.75" customHeight="1" s="48"/>
    <row r="152" ht="15.75" customHeight="1" s="48"/>
    <row r="153" ht="15.75" customHeight="1" s="48"/>
    <row r="154" ht="15.75" customHeight="1" s="48"/>
    <row r="155" ht="15.75" customHeight="1" s="48"/>
    <row r="156" ht="15.75" customHeight="1" s="48"/>
    <row r="157" ht="15.75" customHeight="1" s="48"/>
    <row r="158" ht="15.75" customHeight="1" s="48"/>
    <row r="159" ht="15.75" customHeight="1" s="48"/>
    <row r="160" ht="15.75" customHeight="1" s="48"/>
    <row r="161" ht="15.75" customHeight="1" s="48"/>
    <row r="162" ht="15.75" customHeight="1" s="48"/>
    <row r="163" ht="15.75" customHeight="1" s="48"/>
    <row r="164" ht="15.75" customHeight="1" s="48"/>
    <row r="165" ht="15.75" customHeight="1" s="48"/>
    <row r="166" ht="15.75" customHeight="1" s="48"/>
    <row r="167" ht="15.75" customHeight="1" s="48"/>
    <row r="168" ht="15.75" customHeight="1" s="48"/>
    <row r="169" ht="15.75" customHeight="1" s="48"/>
    <row r="170" ht="15.75" customHeight="1" s="48"/>
    <row r="171" ht="15.75" customHeight="1" s="48"/>
    <row r="172" ht="15.75" customHeight="1" s="48"/>
    <row r="173" ht="15.75" customHeight="1" s="48"/>
    <row r="174" ht="15.75" customHeight="1" s="48"/>
    <row r="175" ht="15.75" customHeight="1" s="48"/>
    <row r="176" ht="15.75" customHeight="1" s="48"/>
    <row r="177" ht="15.75" customHeight="1" s="48"/>
    <row r="178" ht="15.75" customHeight="1" s="48"/>
    <row r="179" ht="15.75" customHeight="1" s="48"/>
    <row r="180" ht="15.75" customHeight="1" s="48"/>
    <row r="181" ht="15.75" customHeight="1" s="48"/>
    <row r="182" ht="15.75" customHeight="1" s="48"/>
    <row r="183" ht="15.75" customHeight="1" s="48"/>
    <row r="184" ht="15.75" customHeight="1" s="48"/>
    <row r="185" ht="15.75" customHeight="1" s="48"/>
    <row r="186" ht="15.75" customHeight="1" s="48"/>
    <row r="187" ht="15.75" customHeight="1" s="48"/>
    <row r="188" ht="15.75" customHeight="1" s="48"/>
    <row r="189" ht="15.75" customHeight="1" s="48"/>
    <row r="190" ht="15.75" customHeight="1" s="48"/>
    <row r="191" ht="15.75" customHeight="1" s="48"/>
    <row r="192" ht="15.75" customHeight="1" s="48"/>
    <row r="193" ht="15.75" customHeight="1" s="48"/>
    <row r="194" ht="15.75" customHeight="1" s="48"/>
    <row r="195" ht="15.75" customHeight="1" s="48"/>
    <row r="196" ht="15.75" customHeight="1" s="48"/>
    <row r="197" ht="15.75" customHeight="1" s="48"/>
    <row r="198" ht="15.75" customHeight="1" s="48"/>
    <row r="199" ht="15.75" customHeight="1" s="48"/>
    <row r="200" ht="15.75" customHeight="1" s="48"/>
    <row r="201" ht="15.75" customHeight="1" s="48"/>
    <row r="202" ht="15.75" customHeight="1" s="48"/>
    <row r="203" ht="15.75" customHeight="1" s="48"/>
    <row r="204" ht="15.75" customHeight="1" s="48"/>
    <row r="205" ht="15.75" customHeight="1" s="48"/>
    <row r="206" ht="15.75" customHeight="1" s="48"/>
    <row r="207" ht="15.75" customHeight="1" s="48"/>
    <row r="208" ht="15.75" customHeight="1" s="48"/>
    <row r="209" ht="15.75" customHeight="1" s="48"/>
    <row r="210" ht="15.75" customHeight="1" s="48"/>
    <row r="211" ht="15.75" customHeight="1" s="48"/>
    <row r="212" ht="15.75" customHeight="1" s="48"/>
    <row r="213" ht="15.75" customHeight="1" s="48"/>
    <row r="214" ht="15.75" customHeight="1" s="48"/>
    <row r="215" ht="15.75" customHeight="1" s="48"/>
    <row r="216" ht="15.75" customHeight="1" s="48"/>
    <row r="217" ht="15.75" customHeight="1" s="48"/>
    <row r="218" ht="15.75" customHeight="1" s="48"/>
    <row r="219" ht="15.75" customHeight="1" s="48"/>
    <row r="220" ht="15.75" customHeight="1" s="48"/>
    <row r="221" ht="15.75" customHeight="1" s="48"/>
    <row r="222" ht="15.75" customHeight="1" s="48"/>
    <row r="223" ht="15.75" customHeight="1" s="48"/>
    <row r="224" ht="15.75" customHeight="1" s="48"/>
    <row r="225" ht="15.75" customHeight="1" s="48"/>
    <row r="226" ht="15.75" customHeight="1" s="48"/>
    <row r="227" ht="15.75" customHeight="1" s="48"/>
    <row r="228" ht="15.75" customHeight="1" s="48"/>
    <row r="229" ht="15.75" customHeight="1" s="48"/>
    <row r="230" ht="15.75" customHeight="1" s="48"/>
    <row r="231" ht="15.75" customHeight="1" s="48"/>
    <row r="232" ht="15.75" customHeight="1" s="48"/>
    <row r="233" ht="15.75" customHeight="1" s="48"/>
    <row r="234" ht="15.75" customHeight="1" s="48"/>
    <row r="235" ht="15.75" customHeight="1" s="48"/>
    <row r="236" ht="15.75" customHeight="1" s="48"/>
    <row r="237" ht="15.75" customHeight="1" s="48"/>
    <row r="238" ht="15.75" customHeight="1" s="48"/>
    <row r="239" ht="15.75" customHeight="1" s="48"/>
    <row r="240" ht="15.75" customHeight="1" s="48"/>
    <row r="241" ht="15.75" customHeight="1" s="48"/>
    <row r="242" ht="15.75" customHeight="1" s="48"/>
    <row r="243" ht="15.75" customHeight="1" s="48"/>
    <row r="244" ht="15.75" customHeight="1" s="48"/>
    <row r="245" ht="15.75" customHeight="1" s="48"/>
    <row r="246" ht="15.75" customHeight="1" s="48"/>
    <row r="247" ht="15.75" customHeight="1" s="48"/>
    <row r="248" ht="15.75" customHeight="1" s="48"/>
    <row r="249" ht="15.75" customHeight="1" s="48"/>
    <row r="250" ht="15.75" customHeight="1" s="48"/>
    <row r="251" ht="15.75" customHeight="1" s="48"/>
    <row r="252" ht="15.75" customHeight="1" s="48"/>
    <row r="253" ht="15.75" customHeight="1" s="48"/>
    <row r="254" ht="15.75" customHeight="1" s="48"/>
    <row r="255" ht="15.75" customHeight="1" s="48"/>
    <row r="256" ht="15.75" customHeight="1" s="48"/>
    <row r="257" ht="15.75" customHeight="1" s="48"/>
    <row r="258" ht="15.75" customHeight="1" s="48"/>
    <row r="259" ht="15.75" customHeight="1" s="48"/>
    <row r="260" ht="15.75" customHeight="1" s="48"/>
    <row r="261" ht="15.75" customHeight="1" s="48"/>
    <row r="262" ht="15.75" customHeight="1" s="48"/>
    <row r="263" ht="15.75" customHeight="1" s="48"/>
    <row r="264" ht="15.75" customHeight="1" s="48"/>
    <row r="265" ht="15.75" customHeight="1" s="48"/>
    <row r="266" ht="15.75" customHeight="1" s="48"/>
    <row r="267" ht="15.75" customHeight="1" s="48"/>
    <row r="268" ht="15.75" customHeight="1" s="48"/>
    <row r="269" ht="15.75" customHeight="1" s="48"/>
    <row r="270" ht="15.75" customHeight="1" s="48"/>
    <row r="271" ht="15.75" customHeight="1" s="48"/>
    <row r="272" ht="15.75" customHeight="1" s="48"/>
    <row r="273" ht="15.75" customHeight="1" s="48"/>
    <row r="274" ht="15.75" customHeight="1" s="48"/>
    <row r="275" ht="15.75" customHeight="1" s="48"/>
    <row r="276" ht="15.75" customHeight="1" s="48"/>
    <row r="277" ht="15.75" customHeight="1" s="48"/>
    <row r="278" ht="15.75" customHeight="1" s="48"/>
    <row r="279" ht="15.75" customHeight="1" s="48"/>
    <row r="280" ht="15.75" customHeight="1" s="48"/>
    <row r="281" ht="15.75" customHeight="1" s="48"/>
    <row r="282" ht="15.75" customHeight="1" s="48"/>
    <row r="283" ht="15.75" customHeight="1" s="48"/>
    <row r="284" ht="15.75" customHeight="1" s="48"/>
    <row r="285" ht="15.75" customHeight="1" s="48"/>
    <row r="286" ht="15.75" customHeight="1" s="48"/>
    <row r="287" ht="15.75" customHeight="1" s="48"/>
    <row r="288" ht="15.75" customHeight="1" s="48"/>
    <row r="289" ht="15.75" customHeight="1" s="48"/>
    <row r="290" ht="15.75" customHeight="1" s="48"/>
    <row r="291" ht="15.75" customHeight="1" s="48"/>
    <row r="292" ht="15.75" customHeight="1" s="48"/>
    <row r="293" ht="15.75" customHeight="1" s="48"/>
    <row r="294" ht="15.75" customHeight="1" s="48"/>
    <row r="295" ht="15.75" customHeight="1" s="48"/>
    <row r="296" ht="15.75" customHeight="1" s="48"/>
    <row r="297" ht="15.75" customHeight="1" s="48"/>
    <row r="298" ht="15.75" customHeight="1" s="48"/>
    <row r="299" ht="15.75" customHeight="1" s="48"/>
    <row r="300" ht="15.75" customHeight="1" s="48"/>
    <row r="301" ht="15.75" customHeight="1" s="48"/>
    <row r="302" ht="15.75" customHeight="1" s="48"/>
    <row r="303" ht="15.75" customHeight="1" s="48"/>
    <row r="304" ht="15.75" customHeight="1" s="48"/>
    <row r="305" ht="15.75" customHeight="1" s="48"/>
    <row r="306" ht="15.75" customHeight="1" s="48"/>
    <row r="307" ht="15.75" customHeight="1" s="48"/>
    <row r="308" ht="15.75" customHeight="1" s="48"/>
    <row r="309" ht="15.75" customHeight="1" s="48"/>
    <row r="310" ht="15.75" customHeight="1" s="48"/>
    <row r="311" ht="15.75" customHeight="1" s="48"/>
    <row r="312" ht="15.75" customHeight="1" s="48"/>
    <row r="313" ht="15.75" customHeight="1" s="48"/>
    <row r="314" ht="15.75" customHeight="1" s="48"/>
    <row r="315" ht="15.75" customHeight="1" s="48"/>
    <row r="316" ht="15.75" customHeight="1" s="48"/>
    <row r="317" ht="15.75" customHeight="1" s="48"/>
    <row r="318" ht="15.75" customHeight="1" s="48"/>
    <row r="319" ht="15.75" customHeight="1" s="48"/>
    <row r="320" ht="15.75" customHeight="1" s="48"/>
    <row r="321" ht="15.75" customHeight="1" s="48"/>
    <row r="322" ht="15.75" customHeight="1" s="48"/>
    <row r="323" ht="15.75" customHeight="1" s="48"/>
    <row r="324" ht="15.75" customHeight="1" s="48"/>
    <row r="325" ht="15.75" customHeight="1" s="48"/>
    <row r="326" ht="15.75" customHeight="1" s="48"/>
    <row r="327" ht="15.75" customHeight="1" s="48"/>
    <row r="328" ht="15.75" customHeight="1" s="48"/>
    <row r="329" ht="15.75" customHeight="1" s="48"/>
    <row r="330" ht="15.75" customHeight="1" s="48"/>
    <row r="331" ht="15.75" customHeight="1" s="48"/>
    <row r="332" ht="15.75" customHeight="1" s="48"/>
    <row r="333" ht="15.75" customHeight="1" s="48"/>
    <row r="334" ht="15.75" customHeight="1" s="48"/>
    <row r="335" ht="15.75" customHeight="1" s="48"/>
    <row r="336" ht="15.75" customHeight="1" s="48"/>
    <row r="337" ht="15.75" customHeight="1" s="48"/>
    <row r="338" ht="15.75" customHeight="1" s="48"/>
    <row r="339" ht="15.75" customHeight="1" s="48"/>
    <row r="340" ht="15.75" customHeight="1" s="48"/>
    <row r="341" ht="15.75" customHeight="1" s="48"/>
    <row r="342" ht="15.75" customHeight="1" s="48"/>
    <row r="343" ht="15.75" customHeight="1" s="48"/>
    <row r="344" ht="15.75" customHeight="1" s="48"/>
    <row r="345" ht="15.75" customHeight="1" s="48"/>
    <row r="346" ht="15.75" customHeight="1" s="48"/>
    <row r="347" ht="15.75" customHeight="1" s="48"/>
    <row r="348" ht="15.75" customHeight="1" s="48"/>
    <row r="349" ht="15.75" customHeight="1" s="48"/>
    <row r="350" ht="15.75" customHeight="1" s="48"/>
    <row r="351" ht="15.75" customHeight="1" s="48"/>
    <row r="352" ht="15.75" customHeight="1" s="48"/>
    <row r="353" ht="15.75" customHeight="1" s="48"/>
    <row r="354" ht="15.75" customHeight="1" s="48"/>
    <row r="355" ht="15.75" customHeight="1" s="48"/>
    <row r="356" ht="15.75" customHeight="1" s="48"/>
    <row r="357" ht="15.75" customHeight="1" s="48"/>
    <row r="358" ht="15.75" customHeight="1" s="48"/>
    <row r="359" ht="15.75" customHeight="1" s="48"/>
    <row r="360" ht="15.75" customHeight="1" s="48"/>
    <row r="361" ht="15.75" customHeight="1" s="48"/>
    <row r="362" ht="15.75" customHeight="1" s="48"/>
    <row r="363" ht="15.75" customHeight="1" s="48"/>
    <row r="364" ht="15.75" customHeight="1" s="48"/>
    <row r="365" ht="15.75" customHeight="1" s="48"/>
    <row r="366" ht="15.75" customHeight="1" s="48"/>
    <row r="367" ht="15.75" customHeight="1" s="48"/>
    <row r="368" ht="15.75" customHeight="1" s="48"/>
    <row r="369" ht="15.75" customHeight="1" s="48"/>
    <row r="370" ht="15.75" customHeight="1" s="48"/>
    <row r="371" ht="15.75" customHeight="1" s="48"/>
    <row r="372" ht="15.75" customHeight="1" s="48"/>
    <row r="373" ht="15.75" customHeight="1" s="48"/>
    <row r="374" ht="15.75" customHeight="1" s="48"/>
    <row r="375" ht="15.75" customHeight="1" s="48"/>
    <row r="376" ht="15.75" customHeight="1" s="48"/>
    <row r="377" ht="15.75" customHeight="1" s="48"/>
    <row r="378" ht="15.75" customHeight="1" s="48"/>
    <row r="379" ht="15.75" customHeight="1" s="48"/>
    <row r="380" ht="15.75" customHeight="1" s="48"/>
    <row r="381" ht="15.75" customHeight="1" s="48"/>
    <row r="382" ht="15.75" customHeight="1" s="48"/>
    <row r="383" ht="15.75" customHeight="1" s="48"/>
    <row r="384" ht="15.75" customHeight="1" s="48"/>
    <row r="385" ht="15.75" customHeight="1" s="48"/>
    <row r="386" ht="15.75" customHeight="1" s="48"/>
    <row r="387" ht="15.75" customHeight="1" s="48"/>
    <row r="388" ht="15.75" customHeight="1" s="48"/>
    <row r="389" ht="15.75" customHeight="1" s="48"/>
    <row r="390" ht="15.75" customHeight="1" s="48"/>
    <row r="391" ht="15.75" customHeight="1" s="48"/>
    <row r="392" ht="15.75" customHeight="1" s="48"/>
    <row r="393" ht="15.75" customHeight="1" s="48"/>
    <row r="394" ht="15.75" customHeight="1" s="48"/>
    <row r="395" ht="15.75" customHeight="1" s="48"/>
    <row r="396" ht="15.75" customHeight="1" s="48"/>
    <row r="397" ht="15.75" customHeight="1" s="48"/>
    <row r="398" ht="15.75" customHeight="1" s="48"/>
    <row r="399" ht="15.75" customHeight="1" s="48"/>
    <row r="400" ht="15.75" customHeight="1" s="48"/>
    <row r="401" ht="15.75" customHeight="1" s="48"/>
    <row r="402" ht="15.75" customHeight="1" s="48"/>
    <row r="403" ht="15.75" customHeight="1" s="48"/>
    <row r="404" ht="15.75" customHeight="1" s="48"/>
    <row r="405" ht="15.75" customHeight="1" s="48"/>
    <row r="406" ht="15.75" customHeight="1" s="48"/>
    <row r="407" ht="15.75" customHeight="1" s="48"/>
    <row r="408" ht="15.75" customHeight="1" s="48"/>
    <row r="409" ht="15.75" customHeight="1" s="48"/>
    <row r="410" ht="15.75" customHeight="1" s="48"/>
    <row r="411" ht="15.75" customHeight="1" s="48"/>
    <row r="412" ht="15.75" customHeight="1" s="48"/>
    <row r="413" ht="15.75" customHeight="1" s="48"/>
    <row r="414" ht="15.75" customHeight="1" s="48"/>
    <row r="415" ht="15.75" customHeight="1" s="48"/>
    <row r="416" ht="15.75" customHeight="1" s="48"/>
    <row r="417" ht="15.75" customHeight="1" s="48"/>
    <row r="418" ht="15.75" customHeight="1" s="48"/>
    <row r="419" ht="15.75" customHeight="1" s="48"/>
    <row r="420" ht="15.75" customHeight="1" s="48"/>
    <row r="421" ht="15.75" customHeight="1" s="48"/>
    <row r="422" ht="15.75" customHeight="1" s="48"/>
    <row r="423" ht="15.75" customHeight="1" s="48"/>
    <row r="424" ht="15.75" customHeight="1" s="48"/>
    <row r="425" ht="15.75" customHeight="1" s="48"/>
    <row r="426" ht="15.75" customHeight="1" s="48"/>
    <row r="427" ht="15.75" customHeight="1" s="48"/>
    <row r="428" ht="15.75" customHeight="1" s="48"/>
    <row r="429" ht="15.75" customHeight="1" s="48"/>
    <row r="430" ht="15.75" customHeight="1" s="48"/>
    <row r="431" ht="15.75" customHeight="1" s="48"/>
    <row r="432" ht="15.75" customHeight="1" s="48"/>
    <row r="433" ht="15.75" customHeight="1" s="48"/>
    <row r="434" ht="15.75" customHeight="1" s="48"/>
    <row r="435" ht="15.75" customHeight="1" s="48"/>
    <row r="436" ht="15.75" customHeight="1" s="48"/>
    <row r="437" ht="15.75" customHeight="1" s="48"/>
    <row r="438" ht="15.75" customHeight="1" s="48"/>
    <row r="439" ht="15.75" customHeight="1" s="48"/>
    <row r="440" ht="15.75" customHeight="1" s="48"/>
    <row r="441" ht="15.75" customHeight="1" s="48"/>
    <row r="442" ht="15.75" customHeight="1" s="48"/>
    <row r="443" ht="15.75" customHeight="1" s="48"/>
    <row r="444" ht="15.75" customHeight="1" s="48"/>
    <row r="445" ht="15.75" customHeight="1" s="48"/>
    <row r="446" ht="15.75" customHeight="1" s="48"/>
    <row r="447" ht="15.75" customHeight="1" s="48"/>
    <row r="448" ht="15.75" customHeight="1" s="48"/>
    <row r="449" ht="15.75" customHeight="1" s="48"/>
    <row r="450" ht="15.75" customHeight="1" s="48"/>
    <row r="451" ht="15.75" customHeight="1" s="48"/>
    <row r="452" ht="15.75" customHeight="1" s="48"/>
    <row r="453" ht="15.75" customHeight="1" s="48"/>
    <row r="454" ht="15.75" customHeight="1" s="48"/>
    <row r="455" ht="15.75" customHeight="1" s="48"/>
    <row r="456" ht="15.75" customHeight="1" s="48"/>
    <row r="457" ht="15.75" customHeight="1" s="48"/>
    <row r="458" ht="15.75" customHeight="1" s="48"/>
    <row r="459" ht="15.75" customHeight="1" s="48"/>
    <row r="460" ht="15.75" customHeight="1" s="48"/>
    <row r="461" ht="15.75" customHeight="1" s="48"/>
    <row r="462" ht="15.75" customHeight="1" s="48"/>
    <row r="463" ht="15.75" customHeight="1" s="48"/>
    <row r="464" ht="15.75" customHeight="1" s="48"/>
    <row r="465" ht="15.75" customHeight="1" s="48"/>
    <row r="466" ht="15.75" customHeight="1" s="48"/>
    <row r="467" ht="15.75" customHeight="1" s="48"/>
    <row r="468" ht="15.75" customHeight="1" s="48"/>
    <row r="469" ht="15.75" customHeight="1" s="48"/>
    <row r="470" ht="15.75" customHeight="1" s="48"/>
    <row r="471" ht="15.75" customHeight="1" s="48"/>
    <row r="472" ht="15.75" customHeight="1" s="48"/>
    <row r="473" ht="15.75" customHeight="1" s="48"/>
    <row r="474" ht="15.75" customHeight="1" s="48"/>
    <row r="475" ht="15.75" customHeight="1" s="48"/>
    <row r="476" ht="15.75" customHeight="1" s="48"/>
    <row r="477" ht="15.75" customHeight="1" s="48"/>
    <row r="478" ht="15.75" customHeight="1" s="48"/>
    <row r="479" ht="15.75" customHeight="1" s="48"/>
    <row r="480" ht="15.75" customHeight="1" s="48"/>
    <row r="481" ht="15.75" customHeight="1" s="48"/>
    <row r="482" ht="15.75" customHeight="1" s="48"/>
    <row r="483" ht="15.75" customHeight="1" s="48"/>
    <row r="484" ht="15.75" customHeight="1" s="48"/>
    <row r="485" ht="15.75" customHeight="1" s="48"/>
    <row r="486" ht="15.75" customHeight="1" s="48"/>
    <row r="487" ht="15.75" customHeight="1" s="48"/>
    <row r="488" ht="15.75" customHeight="1" s="48"/>
    <row r="489" ht="15.75" customHeight="1" s="48"/>
    <row r="490" ht="15.75" customHeight="1" s="48"/>
    <row r="491" ht="15.75" customHeight="1" s="48"/>
    <row r="492" ht="15.75" customHeight="1" s="48"/>
    <row r="493" ht="15.75" customHeight="1" s="48"/>
    <row r="494" ht="15.75" customHeight="1" s="48"/>
    <row r="495" ht="15.75" customHeight="1" s="48"/>
    <row r="496" ht="15.75" customHeight="1" s="48"/>
    <row r="497" ht="15.75" customHeight="1" s="48"/>
    <row r="498" ht="15.75" customHeight="1" s="48"/>
    <row r="499" ht="15.75" customHeight="1" s="48"/>
    <row r="500" ht="15.75" customHeight="1" s="48"/>
    <row r="501" ht="15.75" customHeight="1" s="48"/>
    <row r="502" ht="15.75" customHeight="1" s="48"/>
    <row r="503" ht="15.75" customHeight="1" s="48"/>
    <row r="504" ht="15.75" customHeight="1" s="48"/>
    <row r="505" ht="15.75" customHeight="1" s="48"/>
    <row r="506" ht="15.75" customHeight="1" s="48"/>
    <row r="507" ht="15.75" customHeight="1" s="48"/>
    <row r="508" ht="15.75" customHeight="1" s="48"/>
    <row r="509" ht="15.75" customHeight="1" s="48"/>
    <row r="510" ht="15.75" customHeight="1" s="48"/>
    <row r="511" ht="15.75" customHeight="1" s="48"/>
    <row r="512" ht="15.75" customHeight="1" s="48"/>
    <row r="513" ht="15.75" customHeight="1" s="48"/>
    <row r="514" ht="15.75" customHeight="1" s="48"/>
    <row r="515" ht="15.75" customHeight="1" s="48"/>
    <row r="516" ht="15.75" customHeight="1" s="48"/>
    <row r="517" ht="15.75" customHeight="1" s="48"/>
    <row r="518" ht="15.75" customHeight="1" s="48"/>
    <row r="519" ht="15.75" customHeight="1" s="48"/>
    <row r="520" ht="15.75" customHeight="1" s="48"/>
    <row r="521" ht="15.75" customHeight="1" s="48"/>
    <row r="522" ht="15.75" customHeight="1" s="48"/>
    <row r="523" ht="15.75" customHeight="1" s="48"/>
    <row r="524" ht="15.75" customHeight="1" s="48"/>
    <row r="525" ht="15.75" customHeight="1" s="48"/>
    <row r="526" ht="15.75" customHeight="1" s="48"/>
    <row r="527" ht="15.75" customHeight="1" s="48"/>
    <row r="528" ht="15.75" customHeight="1" s="48"/>
    <row r="529" ht="15.75" customHeight="1" s="48"/>
    <row r="530" ht="15.75" customHeight="1" s="48"/>
    <row r="531" ht="15.75" customHeight="1" s="48"/>
    <row r="532" ht="15.75" customHeight="1" s="48"/>
    <row r="533" ht="15.75" customHeight="1" s="48"/>
    <row r="534" ht="15.75" customHeight="1" s="48"/>
    <row r="535" ht="15.75" customHeight="1" s="48"/>
    <row r="536" ht="15.75" customHeight="1" s="48"/>
    <row r="537" ht="15.75" customHeight="1" s="48"/>
    <row r="538" ht="15.75" customHeight="1" s="48"/>
    <row r="539" ht="15.75" customHeight="1" s="48"/>
    <row r="540" ht="15.75" customHeight="1" s="48"/>
    <row r="541" ht="15.75" customHeight="1" s="48"/>
    <row r="542" ht="15.75" customHeight="1" s="48"/>
    <row r="543" ht="15.75" customHeight="1" s="48"/>
    <row r="544" ht="15.75" customHeight="1" s="48"/>
    <row r="545" ht="15.75" customHeight="1" s="48"/>
    <row r="546" ht="15.75" customHeight="1" s="48"/>
    <row r="547" ht="15.75" customHeight="1" s="48"/>
    <row r="548" ht="15.75" customHeight="1" s="48"/>
    <row r="549" ht="15.75" customHeight="1" s="48"/>
    <row r="550" ht="15.75" customHeight="1" s="48"/>
    <row r="551" ht="15.75" customHeight="1" s="48"/>
    <row r="552" ht="15.75" customHeight="1" s="48"/>
    <row r="553" ht="15.75" customHeight="1" s="48"/>
    <row r="554" ht="15.75" customHeight="1" s="48"/>
    <row r="555" ht="15.75" customHeight="1" s="48"/>
    <row r="556" ht="15.75" customHeight="1" s="48"/>
    <row r="557" ht="15.75" customHeight="1" s="48"/>
    <row r="558" ht="15.75" customHeight="1" s="48"/>
    <row r="559" ht="15.75" customHeight="1" s="48"/>
    <row r="560" ht="15.75" customHeight="1" s="48"/>
    <row r="561" ht="15.75" customHeight="1" s="48"/>
    <row r="562" ht="15.75" customHeight="1" s="48"/>
    <row r="563" ht="15.75" customHeight="1" s="48"/>
    <row r="564" ht="15.75" customHeight="1" s="48"/>
    <row r="565" ht="15.75" customHeight="1" s="48"/>
    <row r="566" ht="15.75" customHeight="1" s="48"/>
    <row r="567" ht="15.75" customHeight="1" s="48"/>
    <row r="568" ht="15.75" customHeight="1" s="48"/>
    <row r="569" ht="15.75" customHeight="1" s="48"/>
    <row r="570" ht="15.75" customHeight="1" s="48"/>
    <row r="571" ht="15.75" customHeight="1" s="48"/>
    <row r="572" ht="15.75" customHeight="1" s="48"/>
    <row r="573" ht="15.75" customHeight="1" s="48"/>
    <row r="574" ht="15.75" customHeight="1" s="48"/>
    <row r="575" ht="15.75" customHeight="1" s="48"/>
    <row r="576" ht="15.75" customHeight="1" s="48"/>
    <row r="577" ht="15.75" customHeight="1" s="48"/>
    <row r="578" ht="15.75" customHeight="1" s="48"/>
    <row r="579" ht="15.75" customHeight="1" s="48"/>
    <row r="580" ht="15.75" customHeight="1" s="48"/>
    <row r="581" ht="15.75" customHeight="1" s="48"/>
    <row r="582" ht="15.75" customHeight="1" s="48"/>
    <row r="583" ht="15.75" customHeight="1" s="48"/>
    <row r="584" ht="15.75" customHeight="1" s="48"/>
    <row r="585" ht="15.75" customHeight="1" s="48"/>
    <row r="586" ht="15.75" customHeight="1" s="48"/>
    <row r="587" ht="15.75" customHeight="1" s="48"/>
    <row r="588" ht="15.75" customHeight="1" s="48"/>
    <row r="589" ht="15.75" customHeight="1" s="48"/>
    <row r="590" ht="15.75" customHeight="1" s="48"/>
    <row r="591" ht="15.75" customHeight="1" s="48"/>
    <row r="592" ht="15.75" customHeight="1" s="48"/>
    <row r="593" ht="15.75" customHeight="1" s="48"/>
    <row r="594" ht="15.75" customHeight="1" s="48"/>
    <row r="595" ht="15.75" customHeight="1" s="48"/>
    <row r="596" ht="15.75" customHeight="1" s="48"/>
    <row r="597" ht="15.75" customHeight="1" s="48"/>
    <row r="598" ht="15.75" customHeight="1" s="48"/>
    <row r="599" ht="15.75" customHeight="1" s="48"/>
    <row r="600" ht="15.75" customHeight="1" s="48"/>
    <row r="601" ht="15.75" customHeight="1" s="48"/>
    <row r="602" ht="15.75" customHeight="1" s="48"/>
    <row r="603" ht="15.75" customHeight="1" s="48"/>
    <row r="604" ht="15.75" customHeight="1" s="48"/>
    <row r="605" ht="15.75" customHeight="1" s="48"/>
    <row r="606" ht="15.75" customHeight="1" s="48"/>
    <row r="607" ht="15.75" customHeight="1" s="48"/>
    <row r="608" ht="15.75" customHeight="1" s="48"/>
    <row r="609" ht="15.75" customHeight="1" s="48"/>
    <row r="610" ht="15.75" customHeight="1" s="48"/>
    <row r="611" ht="15.75" customHeight="1" s="48"/>
    <row r="612" ht="15.75" customHeight="1" s="48"/>
    <row r="613" ht="15.75" customHeight="1" s="48"/>
    <row r="614" ht="15.75" customHeight="1" s="48"/>
    <row r="615" ht="15.75" customHeight="1" s="48"/>
    <row r="616" ht="15.75" customHeight="1" s="48"/>
    <row r="617" ht="15.75" customHeight="1" s="48"/>
    <row r="618" ht="15.75" customHeight="1" s="48"/>
    <row r="619" ht="15.75" customHeight="1" s="48"/>
    <row r="620" ht="15.75" customHeight="1" s="48"/>
    <row r="621" ht="15.75" customHeight="1" s="48"/>
    <row r="622" ht="15.75" customHeight="1" s="48"/>
    <row r="623" ht="15.75" customHeight="1" s="48"/>
    <row r="624" ht="15.75" customHeight="1" s="48"/>
    <row r="625" ht="15.75" customHeight="1" s="48"/>
    <row r="626" ht="15.75" customHeight="1" s="48"/>
    <row r="627" ht="15.75" customHeight="1" s="48"/>
    <row r="628" ht="15.75" customHeight="1" s="48"/>
    <row r="629" ht="15.75" customHeight="1" s="48"/>
    <row r="630" ht="15.75" customHeight="1" s="48"/>
    <row r="631" ht="15.75" customHeight="1" s="48"/>
    <row r="632" ht="15.75" customHeight="1" s="48"/>
    <row r="633" ht="15.75" customHeight="1" s="48"/>
    <row r="634" ht="15.75" customHeight="1" s="48"/>
    <row r="635" ht="15.75" customHeight="1" s="48"/>
    <row r="636" ht="15.75" customHeight="1" s="48"/>
    <row r="637" ht="15.75" customHeight="1" s="48"/>
    <row r="638" ht="15.75" customHeight="1" s="48"/>
    <row r="639" ht="15.75" customHeight="1" s="48"/>
    <row r="640" ht="15.75" customHeight="1" s="48"/>
    <row r="641" ht="15.75" customHeight="1" s="48"/>
    <row r="642" ht="15.75" customHeight="1" s="48"/>
    <row r="643" ht="15.75" customHeight="1" s="48"/>
    <row r="644" ht="15.75" customHeight="1" s="48"/>
    <row r="645" ht="15.75" customHeight="1" s="48"/>
    <row r="646" ht="15.75" customHeight="1" s="48"/>
    <row r="647" ht="15.75" customHeight="1" s="48"/>
    <row r="648" ht="15.75" customHeight="1" s="48"/>
    <row r="649" ht="15.75" customHeight="1" s="48"/>
    <row r="650" ht="15.75" customHeight="1" s="48"/>
    <row r="651" ht="15.75" customHeight="1" s="48"/>
    <row r="652" ht="15.75" customHeight="1" s="48"/>
    <row r="653" ht="15.75" customHeight="1" s="48"/>
    <row r="654" ht="15.75" customHeight="1" s="48"/>
    <row r="655" ht="15.75" customHeight="1" s="48"/>
    <row r="656" ht="15.75" customHeight="1" s="48"/>
    <row r="657" ht="15.75" customHeight="1" s="48"/>
    <row r="658" ht="15.75" customHeight="1" s="48"/>
    <row r="659" ht="15.75" customHeight="1" s="48"/>
    <row r="660" ht="15.75" customHeight="1" s="48"/>
    <row r="661" ht="15.75" customHeight="1" s="48"/>
    <row r="662" ht="15.75" customHeight="1" s="48"/>
    <row r="663" ht="15.75" customHeight="1" s="48"/>
    <row r="664" ht="15.75" customHeight="1" s="48"/>
    <row r="665" ht="15.75" customHeight="1" s="48"/>
    <row r="666" ht="15.75" customHeight="1" s="48"/>
    <row r="667" ht="15.75" customHeight="1" s="48"/>
    <row r="668" ht="15.75" customHeight="1" s="48"/>
    <row r="669" ht="15.75" customHeight="1" s="48"/>
    <row r="670" ht="15.75" customHeight="1" s="48"/>
    <row r="671" ht="15.75" customHeight="1" s="48"/>
    <row r="672" ht="15.75" customHeight="1" s="48"/>
    <row r="673" ht="15.75" customHeight="1" s="48"/>
    <row r="674" ht="15.75" customHeight="1" s="48"/>
    <row r="675" ht="15.75" customHeight="1" s="48"/>
    <row r="676" ht="15.75" customHeight="1" s="48"/>
    <row r="677" ht="15.75" customHeight="1" s="48"/>
    <row r="678" ht="15.75" customHeight="1" s="48"/>
    <row r="679" ht="15.75" customHeight="1" s="48"/>
    <row r="680" ht="15.75" customHeight="1" s="48"/>
    <row r="681" ht="15.75" customHeight="1" s="48"/>
    <row r="682" ht="15.75" customHeight="1" s="48"/>
    <row r="683" ht="15.75" customHeight="1" s="48"/>
    <row r="684" ht="15.75" customHeight="1" s="48"/>
    <row r="685" ht="15.75" customHeight="1" s="48"/>
    <row r="686" ht="15.75" customHeight="1" s="48"/>
    <row r="687" ht="15.75" customHeight="1" s="48"/>
    <row r="688" ht="15.75" customHeight="1" s="48"/>
    <row r="689" ht="15.75" customHeight="1" s="48"/>
    <row r="690" ht="15.75" customHeight="1" s="48"/>
    <row r="691" ht="15.75" customHeight="1" s="48"/>
    <row r="692" ht="15.75" customHeight="1" s="48"/>
    <row r="693" ht="15.75" customHeight="1" s="48"/>
    <row r="694" ht="15.75" customHeight="1" s="48"/>
    <row r="695" ht="15.75" customHeight="1" s="48"/>
    <row r="696" ht="15.75" customHeight="1" s="48"/>
    <row r="697" ht="15.75" customHeight="1" s="48"/>
    <row r="698" ht="15.75" customHeight="1" s="48"/>
    <row r="699" ht="15.75" customHeight="1" s="48"/>
    <row r="700" ht="15.75" customHeight="1" s="48"/>
    <row r="701" ht="15.75" customHeight="1" s="48"/>
    <row r="702" ht="15.75" customHeight="1" s="48"/>
    <row r="703" ht="15.75" customHeight="1" s="48"/>
    <row r="704" ht="15.75" customHeight="1" s="48"/>
    <row r="705" ht="15.75" customHeight="1" s="48"/>
    <row r="706" ht="15.75" customHeight="1" s="48"/>
    <row r="707" ht="15.75" customHeight="1" s="48"/>
    <row r="708" ht="15.75" customHeight="1" s="48"/>
    <row r="709" ht="15.75" customHeight="1" s="48"/>
    <row r="710" ht="15.75" customHeight="1" s="48"/>
    <row r="711" ht="15.75" customHeight="1" s="48"/>
    <row r="712" ht="15.75" customHeight="1" s="48"/>
    <row r="713" ht="15.75" customHeight="1" s="48"/>
    <row r="714" ht="15.75" customHeight="1" s="48"/>
    <row r="715" ht="15.75" customHeight="1" s="48"/>
    <row r="716" ht="15.75" customHeight="1" s="48"/>
    <row r="717" ht="15.75" customHeight="1" s="48"/>
    <row r="718" ht="15.75" customHeight="1" s="48"/>
    <row r="719" ht="15.75" customHeight="1" s="48"/>
    <row r="720" ht="15.75" customHeight="1" s="48"/>
    <row r="721" ht="15.75" customHeight="1" s="48"/>
    <row r="722" ht="15.75" customHeight="1" s="48"/>
    <row r="723" ht="15.75" customHeight="1" s="48"/>
    <row r="724" ht="15.75" customHeight="1" s="48"/>
    <row r="725" ht="15.75" customHeight="1" s="48"/>
    <row r="726" ht="15.75" customHeight="1" s="48"/>
    <row r="727" ht="15.75" customHeight="1" s="48"/>
    <row r="728" ht="15.75" customHeight="1" s="48"/>
    <row r="729" ht="15.75" customHeight="1" s="48"/>
    <row r="730" ht="15.75" customHeight="1" s="48"/>
    <row r="731" ht="15.75" customHeight="1" s="48"/>
    <row r="732" ht="15.75" customHeight="1" s="48"/>
    <row r="733" ht="15.75" customHeight="1" s="48"/>
    <row r="734" ht="15.75" customHeight="1" s="48"/>
    <row r="735" ht="15.75" customHeight="1" s="48"/>
    <row r="736" ht="15.75" customHeight="1" s="48"/>
    <row r="737" ht="15.75" customHeight="1" s="48"/>
    <row r="738" ht="15.75" customHeight="1" s="48"/>
    <row r="739" ht="15.75" customHeight="1" s="48"/>
    <row r="740" ht="15.75" customHeight="1" s="48"/>
    <row r="741" ht="15.75" customHeight="1" s="48"/>
    <row r="742" ht="15.75" customHeight="1" s="48"/>
    <row r="743" ht="15.75" customHeight="1" s="48"/>
    <row r="744" ht="15.75" customHeight="1" s="48"/>
    <row r="745" ht="15.75" customHeight="1" s="48"/>
    <row r="746" ht="15.75" customHeight="1" s="48"/>
    <row r="747" ht="15.75" customHeight="1" s="48"/>
    <row r="748" ht="15.75" customHeight="1" s="48"/>
    <row r="749" ht="15.75" customHeight="1" s="48"/>
    <row r="750" ht="15.75" customHeight="1" s="48"/>
    <row r="751" ht="15.75" customHeight="1" s="48"/>
    <row r="752" ht="15.75" customHeight="1" s="48"/>
    <row r="753" ht="15.75" customHeight="1" s="48"/>
    <row r="754" ht="15.75" customHeight="1" s="48"/>
    <row r="755" ht="15.75" customHeight="1" s="48"/>
    <row r="756" ht="15.75" customHeight="1" s="48"/>
    <row r="757" ht="15.75" customHeight="1" s="48"/>
    <row r="758" ht="15.75" customHeight="1" s="48"/>
    <row r="759" ht="15.75" customHeight="1" s="48"/>
    <row r="760" ht="15.75" customHeight="1" s="48"/>
    <row r="761" ht="15.75" customHeight="1" s="48"/>
    <row r="762" ht="15.75" customHeight="1" s="48"/>
    <row r="763" ht="15.75" customHeight="1" s="48"/>
    <row r="764" ht="15.75" customHeight="1" s="48"/>
    <row r="765" ht="15.75" customHeight="1" s="48"/>
    <row r="766" ht="15.75" customHeight="1" s="48"/>
    <row r="767" ht="15.75" customHeight="1" s="48"/>
    <row r="768" ht="15.75" customHeight="1" s="48"/>
    <row r="769" ht="15.75" customHeight="1" s="48"/>
    <row r="770" ht="15.75" customHeight="1" s="48"/>
    <row r="771" ht="15.75" customHeight="1" s="48"/>
    <row r="772" ht="15.75" customHeight="1" s="48"/>
    <row r="773" ht="15.75" customHeight="1" s="48"/>
    <row r="774" ht="15.75" customHeight="1" s="48"/>
    <row r="775" ht="15.75" customHeight="1" s="48"/>
    <row r="776" ht="15.75" customHeight="1" s="48"/>
    <row r="777" ht="15.75" customHeight="1" s="48"/>
    <row r="778" ht="15.75" customHeight="1" s="48"/>
    <row r="779" ht="15.75" customHeight="1" s="48"/>
    <row r="780" ht="15.75" customHeight="1" s="48"/>
    <row r="781" ht="15.75" customHeight="1" s="48"/>
    <row r="782" ht="15.75" customHeight="1" s="48"/>
    <row r="783" ht="15.75" customHeight="1" s="48"/>
    <row r="784" ht="15.75" customHeight="1" s="48"/>
    <row r="785" ht="15.75" customHeight="1" s="48"/>
    <row r="786" ht="15.75" customHeight="1" s="48"/>
    <row r="787" ht="15.75" customHeight="1" s="48"/>
    <row r="788" ht="15.75" customHeight="1" s="48"/>
    <row r="789" ht="15.75" customHeight="1" s="48"/>
    <row r="790" ht="15.75" customHeight="1" s="48"/>
    <row r="791" ht="15.75" customHeight="1" s="48"/>
    <row r="792" ht="15.75" customHeight="1" s="48"/>
    <row r="793" ht="15.75" customHeight="1" s="48"/>
    <row r="794" ht="15.75" customHeight="1" s="48"/>
    <row r="795" ht="15.75" customHeight="1" s="48"/>
    <row r="796" ht="15.75" customHeight="1" s="48"/>
    <row r="797" ht="15.75" customHeight="1" s="48"/>
    <row r="798" ht="15.75" customHeight="1" s="48"/>
    <row r="799" ht="15.75" customHeight="1" s="48"/>
    <row r="800" ht="15.75" customHeight="1" s="48"/>
    <row r="801" ht="15.75" customHeight="1" s="48"/>
    <row r="802" ht="15.75" customHeight="1" s="48"/>
    <row r="803" ht="15.75" customHeight="1" s="48"/>
    <row r="804" ht="15.75" customHeight="1" s="48"/>
    <row r="805" ht="15.75" customHeight="1" s="48"/>
    <row r="806" ht="15.75" customHeight="1" s="48"/>
    <row r="807" ht="15.75" customHeight="1" s="48"/>
    <row r="808" ht="15.75" customHeight="1" s="48"/>
    <row r="809" ht="15.75" customHeight="1" s="48"/>
    <row r="810" ht="15.75" customHeight="1" s="48"/>
    <row r="811" ht="15.75" customHeight="1" s="48"/>
    <row r="812" ht="15.75" customHeight="1" s="48"/>
    <row r="813" ht="15.75" customHeight="1" s="48"/>
    <row r="814" ht="15.75" customHeight="1" s="48"/>
    <row r="815" ht="15.75" customHeight="1" s="48"/>
    <row r="816" ht="15.75" customHeight="1" s="48"/>
    <row r="817" ht="15.75" customHeight="1" s="48"/>
    <row r="818" ht="15.75" customHeight="1" s="48"/>
    <row r="819" ht="15.75" customHeight="1" s="48"/>
    <row r="820" ht="15.75" customHeight="1" s="48"/>
    <row r="821" ht="15.75" customHeight="1" s="48"/>
    <row r="822" ht="15.75" customHeight="1" s="48"/>
    <row r="823" ht="15.75" customHeight="1" s="48"/>
    <row r="824" ht="15.75" customHeight="1" s="48"/>
    <row r="825" ht="15.75" customHeight="1" s="48"/>
    <row r="826" ht="15.75" customHeight="1" s="48"/>
    <row r="827" ht="15.75" customHeight="1" s="48"/>
    <row r="828" ht="15.75" customHeight="1" s="48"/>
    <row r="829" ht="15.75" customHeight="1" s="48"/>
    <row r="830" ht="15.75" customHeight="1" s="48"/>
    <row r="831" ht="15.75" customHeight="1" s="48"/>
    <row r="832" ht="15.75" customHeight="1" s="48"/>
    <row r="833" ht="15.75" customHeight="1" s="48"/>
    <row r="834" ht="15.75" customHeight="1" s="48"/>
    <row r="835" ht="15.75" customHeight="1" s="48"/>
    <row r="836" ht="15.75" customHeight="1" s="48"/>
    <row r="837" ht="15.75" customHeight="1" s="48"/>
    <row r="838" ht="15.75" customHeight="1" s="48"/>
    <row r="839" ht="15.75" customHeight="1" s="48"/>
    <row r="840" ht="15.75" customHeight="1" s="48"/>
    <row r="841" ht="15.75" customHeight="1" s="48"/>
    <row r="842" ht="15.75" customHeight="1" s="48"/>
    <row r="843" ht="15.75" customHeight="1" s="48"/>
    <row r="844" ht="15.75" customHeight="1" s="48"/>
    <row r="845" ht="15.75" customHeight="1" s="48"/>
    <row r="846" ht="15.75" customHeight="1" s="48"/>
    <row r="847" ht="15.75" customHeight="1" s="48"/>
    <row r="848" ht="15.75" customHeight="1" s="48"/>
    <row r="849" ht="15.75" customHeight="1" s="48"/>
    <row r="850" ht="15.75" customHeight="1" s="48"/>
    <row r="851" ht="15.75" customHeight="1" s="48"/>
    <row r="852" ht="15.75" customHeight="1" s="48"/>
    <row r="853" ht="15.75" customHeight="1" s="48"/>
    <row r="854" ht="15.75" customHeight="1" s="48"/>
    <row r="855" ht="15.75" customHeight="1" s="48"/>
    <row r="856" ht="15.75" customHeight="1" s="48"/>
    <row r="857" ht="15.75" customHeight="1" s="48"/>
    <row r="858" ht="15.75" customHeight="1" s="48"/>
    <row r="859" ht="15.75" customHeight="1" s="48"/>
    <row r="860" ht="15.75" customHeight="1" s="48"/>
    <row r="861" ht="15.75" customHeight="1" s="48"/>
    <row r="862" ht="15.75" customHeight="1" s="48"/>
    <row r="863" ht="15.75" customHeight="1" s="48"/>
    <row r="864" ht="15.75" customHeight="1" s="48"/>
    <row r="865" ht="15.75" customHeight="1" s="48"/>
    <row r="866" ht="15.75" customHeight="1" s="48"/>
    <row r="867" ht="15.75" customHeight="1" s="48"/>
    <row r="868" ht="15.75" customHeight="1" s="48"/>
    <row r="869" ht="15.75" customHeight="1" s="48"/>
    <row r="870" ht="15.75" customHeight="1" s="48"/>
    <row r="871" ht="15.75" customHeight="1" s="48"/>
    <row r="872" ht="15.75" customHeight="1" s="48"/>
    <row r="873" ht="15.75" customHeight="1" s="48"/>
    <row r="874" ht="15.75" customHeight="1" s="48"/>
    <row r="875" ht="15.75" customHeight="1" s="48"/>
    <row r="876" ht="15.75" customHeight="1" s="48"/>
    <row r="877" ht="15.75" customHeight="1" s="48"/>
    <row r="878" ht="15.75" customHeight="1" s="48"/>
    <row r="879" ht="15.75" customHeight="1" s="48"/>
    <row r="880" ht="15.75" customHeight="1" s="48"/>
    <row r="881" ht="15.75" customHeight="1" s="48"/>
    <row r="882" ht="15.75" customHeight="1" s="48"/>
    <row r="883" ht="15.75" customHeight="1" s="48"/>
    <row r="884" ht="15.75" customHeight="1" s="48"/>
    <row r="885" ht="15.75" customHeight="1" s="48"/>
    <row r="886" ht="15.75" customHeight="1" s="48"/>
    <row r="887" ht="15.75" customHeight="1" s="48"/>
    <row r="888" ht="15.75" customHeight="1" s="48"/>
    <row r="889" ht="15.75" customHeight="1" s="48"/>
    <row r="890" ht="15.75" customHeight="1" s="48"/>
    <row r="891" ht="15.75" customHeight="1" s="48"/>
    <row r="892" ht="15.75" customHeight="1" s="48"/>
    <row r="893" ht="15.75" customHeight="1" s="48"/>
    <row r="894" ht="15.75" customHeight="1" s="48"/>
    <row r="895" ht="15.75" customHeight="1" s="48"/>
    <row r="896" ht="15.75" customHeight="1" s="48"/>
    <row r="897" ht="15.75" customHeight="1" s="48"/>
    <row r="898" ht="15.75" customHeight="1" s="48"/>
    <row r="899" ht="15.75" customHeight="1" s="48"/>
    <row r="900" ht="15.75" customHeight="1" s="48"/>
    <row r="901" ht="15.75" customHeight="1" s="48"/>
    <row r="902" ht="15.75" customHeight="1" s="48"/>
    <row r="903" ht="15.75" customHeight="1" s="48"/>
    <row r="904" ht="15.75" customHeight="1" s="48"/>
    <row r="905" ht="15.75" customHeight="1" s="48"/>
    <row r="906" ht="15.75" customHeight="1" s="48"/>
    <row r="907" ht="15.75" customHeight="1" s="48"/>
    <row r="908" ht="15.75" customHeight="1" s="48"/>
    <row r="909" ht="15.75" customHeight="1" s="48"/>
    <row r="910" ht="15.75" customHeight="1" s="48"/>
    <row r="911" ht="15.75" customHeight="1" s="48"/>
    <row r="912" ht="15.75" customHeight="1" s="48"/>
    <row r="913" ht="15.75" customHeight="1" s="48"/>
    <row r="914" ht="15.75" customHeight="1" s="48"/>
    <row r="915" ht="15.75" customHeight="1" s="48"/>
    <row r="916" ht="15.75" customHeight="1" s="48"/>
    <row r="917" ht="15.75" customHeight="1" s="48"/>
    <row r="918" ht="15.75" customHeight="1" s="48"/>
    <row r="919" ht="15.75" customHeight="1" s="48"/>
    <row r="920" ht="15.75" customHeight="1" s="48"/>
    <row r="921" ht="15.75" customHeight="1" s="48"/>
    <row r="922" ht="15.75" customHeight="1" s="48"/>
    <row r="923" ht="15.75" customHeight="1" s="48"/>
    <row r="924" ht="15.75" customHeight="1" s="48"/>
    <row r="925" ht="15.75" customHeight="1" s="48"/>
    <row r="926" ht="15.75" customHeight="1" s="48"/>
    <row r="927" ht="15.75" customHeight="1" s="48"/>
    <row r="928" ht="15.75" customHeight="1" s="48"/>
    <row r="929" ht="15.75" customHeight="1" s="48"/>
    <row r="930" ht="15.75" customHeight="1" s="48"/>
    <row r="931" ht="15.75" customHeight="1" s="48"/>
    <row r="932" ht="15.75" customHeight="1" s="48"/>
    <row r="933" ht="15.75" customHeight="1" s="48"/>
    <row r="934" ht="15.75" customHeight="1" s="48"/>
    <row r="935" ht="15.75" customHeight="1" s="48"/>
    <row r="936" ht="15.75" customHeight="1" s="48"/>
    <row r="937" ht="15.75" customHeight="1" s="48"/>
    <row r="938" ht="15.75" customHeight="1" s="48"/>
    <row r="939" ht="15.75" customHeight="1" s="48"/>
    <row r="940" ht="15.75" customHeight="1" s="48"/>
    <row r="941" ht="15.75" customHeight="1" s="48"/>
    <row r="942" ht="15.75" customHeight="1" s="48"/>
    <row r="943" ht="15.75" customHeight="1" s="48"/>
    <row r="944" ht="15.75" customHeight="1" s="48"/>
    <row r="945" ht="15.75" customHeight="1" s="48"/>
    <row r="946" ht="15.75" customHeight="1" s="48"/>
    <row r="947" ht="15.75" customHeight="1" s="48"/>
    <row r="948" ht="15.75" customHeight="1" s="48"/>
    <row r="949" ht="15.75" customHeight="1" s="48"/>
    <row r="950" ht="15.75" customHeight="1" s="48"/>
    <row r="951" ht="15.75" customHeight="1" s="48"/>
    <row r="952" ht="15.75" customHeight="1" s="48"/>
    <row r="953" ht="15.75" customHeight="1" s="48"/>
    <row r="954" ht="15.75" customHeight="1" s="48"/>
    <row r="955" ht="15.75" customHeight="1" s="48"/>
    <row r="956" ht="15.75" customHeight="1" s="48"/>
    <row r="957" ht="15.75" customHeight="1" s="48"/>
    <row r="958" ht="15.75" customHeight="1" s="48"/>
    <row r="959" ht="15.75" customHeight="1" s="48"/>
    <row r="960" ht="15.75" customHeight="1" s="48"/>
    <row r="961" ht="15.75" customHeight="1" s="48"/>
    <row r="962" ht="15.75" customHeight="1" s="48"/>
    <row r="963" ht="15.75" customHeight="1" s="48"/>
    <row r="964" ht="15.75" customHeight="1" s="48"/>
    <row r="965" ht="15.75" customHeight="1" s="48"/>
    <row r="966" ht="15.75" customHeight="1" s="48"/>
    <row r="967" ht="15.75" customHeight="1" s="48"/>
    <row r="968" ht="15.75" customHeight="1" s="48"/>
    <row r="969" ht="15.75" customHeight="1" s="48"/>
    <row r="970" ht="15.75" customHeight="1" s="48"/>
    <row r="971" ht="15.75" customHeight="1" s="48"/>
    <row r="972" ht="15.75" customHeight="1" s="48"/>
    <row r="973" ht="15.75" customHeight="1" s="48"/>
    <row r="974" ht="15.75" customHeight="1" s="48"/>
    <row r="975" ht="15.75" customHeight="1" s="48"/>
    <row r="976" ht="15.75" customHeight="1" s="48"/>
    <row r="977" ht="15.75" customHeight="1" s="48"/>
    <row r="978" ht="15.75" customHeight="1" s="48"/>
    <row r="979" ht="15.75" customHeight="1" s="48"/>
    <row r="980" ht="15.75" customHeight="1" s="48"/>
    <row r="981" ht="15.75" customHeight="1" s="48"/>
    <row r="982" ht="15.75" customHeight="1" s="48"/>
    <row r="983" ht="15.75" customHeight="1" s="48"/>
    <row r="984" ht="15.75" customHeight="1" s="48"/>
    <row r="985" ht="15.75" customHeight="1" s="48"/>
    <row r="986" ht="15.75" customHeight="1" s="48"/>
    <row r="987" ht="15.75" customHeight="1" s="48"/>
    <row r="988" ht="15.75" customHeight="1" s="48"/>
    <row r="989" ht="15.75" customHeight="1" s="48"/>
    <row r="990" ht="15.75" customHeight="1" s="48"/>
    <row r="991" ht="15.75" customHeight="1" s="48"/>
    <row r="992" ht="15.75" customHeight="1" s="48"/>
    <row r="993" ht="15.75" customHeight="1" s="48"/>
    <row r="994" ht="15.75" customHeight="1" s="48"/>
    <row r="995" ht="15.75" customHeight="1" s="48"/>
    <row r="996" ht="15.75" customHeight="1" s="48"/>
    <row r="997" ht="15.75" customHeight="1" s="48"/>
    <row r="998" ht="15.75" customHeight="1" s="48"/>
    <row r="999" ht="15.75" customHeight="1" s="48"/>
    <row r="1000" ht="15.75" customHeight="1" s="48"/>
  </sheetData>
  <hyperlinks>
    <hyperlink xmlns:r="http://schemas.openxmlformats.org/officeDocument/2006/relationships" ref="I2" r:id="rId1"/>
    <hyperlink xmlns:r="http://schemas.openxmlformats.org/officeDocument/2006/relationships" ref="K2" r:id="rId2"/>
    <hyperlink xmlns:r="http://schemas.openxmlformats.org/officeDocument/2006/relationships" ref="L2" r:id="rId3"/>
    <hyperlink xmlns:r="http://schemas.openxmlformats.org/officeDocument/2006/relationships" ref="I3" r:id="rId4"/>
    <hyperlink xmlns:r="http://schemas.openxmlformats.org/officeDocument/2006/relationships" ref="K3" r:id="rId5"/>
    <hyperlink xmlns:r="http://schemas.openxmlformats.org/officeDocument/2006/relationships" ref="L3" r:id="rId6"/>
    <hyperlink xmlns:r="http://schemas.openxmlformats.org/officeDocument/2006/relationships" ref="I4" r:id="rId7"/>
    <hyperlink xmlns:r="http://schemas.openxmlformats.org/officeDocument/2006/relationships" ref="K4" r:id="rId8"/>
    <hyperlink xmlns:r="http://schemas.openxmlformats.org/officeDocument/2006/relationships" ref="L4" r:id="rId9"/>
    <hyperlink xmlns:r="http://schemas.openxmlformats.org/officeDocument/2006/relationships" ref="K5" r:id="rId10"/>
    <hyperlink xmlns:r="http://schemas.openxmlformats.org/officeDocument/2006/relationships" ref="L5" r:id="rId11"/>
    <hyperlink xmlns:r="http://schemas.openxmlformats.org/officeDocument/2006/relationships" ref="K6" r:id="rId12"/>
    <hyperlink xmlns:r="http://schemas.openxmlformats.org/officeDocument/2006/relationships" ref="L6" r:id="rId13"/>
    <hyperlink xmlns:r="http://schemas.openxmlformats.org/officeDocument/2006/relationships" ref="K7" r:id="rId14"/>
    <hyperlink xmlns:r="http://schemas.openxmlformats.org/officeDocument/2006/relationships" ref="L7" r:id="rId15"/>
    <hyperlink xmlns:r="http://schemas.openxmlformats.org/officeDocument/2006/relationships" ref="I8" r:id="rId16"/>
    <hyperlink xmlns:r="http://schemas.openxmlformats.org/officeDocument/2006/relationships" ref="K8" r:id="rId17"/>
    <hyperlink xmlns:r="http://schemas.openxmlformats.org/officeDocument/2006/relationships" ref="L8" r:id="rId18"/>
    <hyperlink xmlns:r="http://schemas.openxmlformats.org/officeDocument/2006/relationships" ref="I9" r:id="rId19"/>
    <hyperlink xmlns:r="http://schemas.openxmlformats.org/officeDocument/2006/relationships" ref="K9" r:id="rId20"/>
    <hyperlink xmlns:r="http://schemas.openxmlformats.org/officeDocument/2006/relationships" ref="L9" r:id="rId21"/>
    <hyperlink xmlns:r="http://schemas.openxmlformats.org/officeDocument/2006/relationships" ref="K10" r:id="rId22"/>
    <hyperlink xmlns:r="http://schemas.openxmlformats.org/officeDocument/2006/relationships" ref="L10" r:id="rId23"/>
    <hyperlink xmlns:r="http://schemas.openxmlformats.org/officeDocument/2006/relationships" ref="I11" r:id="rId24"/>
    <hyperlink xmlns:r="http://schemas.openxmlformats.org/officeDocument/2006/relationships" ref="K11" r:id="rId25"/>
    <hyperlink xmlns:r="http://schemas.openxmlformats.org/officeDocument/2006/relationships" ref="L11" r:id="rId26"/>
    <hyperlink xmlns:r="http://schemas.openxmlformats.org/officeDocument/2006/relationships" ref="I12" r:id="rId27"/>
    <hyperlink xmlns:r="http://schemas.openxmlformats.org/officeDocument/2006/relationships" ref="K12" r:id="rId28"/>
    <hyperlink xmlns:r="http://schemas.openxmlformats.org/officeDocument/2006/relationships" ref="L12" r:id="rId29"/>
    <hyperlink xmlns:r="http://schemas.openxmlformats.org/officeDocument/2006/relationships" ref="I13" r:id="rId30"/>
    <hyperlink xmlns:r="http://schemas.openxmlformats.org/officeDocument/2006/relationships" ref="K13" r:id="rId31"/>
    <hyperlink xmlns:r="http://schemas.openxmlformats.org/officeDocument/2006/relationships" ref="L13" r:id="rId32"/>
    <hyperlink xmlns:r="http://schemas.openxmlformats.org/officeDocument/2006/relationships" ref="I14" r:id="rId33"/>
    <hyperlink xmlns:r="http://schemas.openxmlformats.org/officeDocument/2006/relationships" ref="K14" r:id="rId34"/>
    <hyperlink xmlns:r="http://schemas.openxmlformats.org/officeDocument/2006/relationships" ref="L14" r:id="rId35"/>
    <hyperlink xmlns:r="http://schemas.openxmlformats.org/officeDocument/2006/relationships" ref="I15" r:id="rId36"/>
    <hyperlink xmlns:r="http://schemas.openxmlformats.org/officeDocument/2006/relationships" ref="K15" r:id="rId37"/>
    <hyperlink xmlns:r="http://schemas.openxmlformats.org/officeDocument/2006/relationships" ref="L15" r:id="rId38"/>
    <hyperlink xmlns:r="http://schemas.openxmlformats.org/officeDocument/2006/relationships" ref="I16" r:id="rId39"/>
    <hyperlink xmlns:r="http://schemas.openxmlformats.org/officeDocument/2006/relationships" ref="K16" r:id="rId40"/>
    <hyperlink xmlns:r="http://schemas.openxmlformats.org/officeDocument/2006/relationships" ref="L16" r:id="rId41"/>
    <hyperlink xmlns:r="http://schemas.openxmlformats.org/officeDocument/2006/relationships" ref="K17" r:id="rId42"/>
    <hyperlink xmlns:r="http://schemas.openxmlformats.org/officeDocument/2006/relationships" ref="L17" r:id="rId43"/>
    <hyperlink xmlns:r="http://schemas.openxmlformats.org/officeDocument/2006/relationships" ref="K18" r:id="rId44"/>
    <hyperlink xmlns:r="http://schemas.openxmlformats.org/officeDocument/2006/relationships" ref="I19" r:id="rId45"/>
    <hyperlink xmlns:r="http://schemas.openxmlformats.org/officeDocument/2006/relationships" ref="K19" r:id="rId46"/>
    <hyperlink xmlns:r="http://schemas.openxmlformats.org/officeDocument/2006/relationships" ref="L19" r:id="rId47"/>
    <hyperlink xmlns:r="http://schemas.openxmlformats.org/officeDocument/2006/relationships" ref="I20" r:id="rId48"/>
    <hyperlink xmlns:r="http://schemas.openxmlformats.org/officeDocument/2006/relationships" ref="K20" r:id="rId49"/>
    <hyperlink xmlns:r="http://schemas.openxmlformats.org/officeDocument/2006/relationships" ref="L20" r:id="rId50"/>
    <hyperlink xmlns:r="http://schemas.openxmlformats.org/officeDocument/2006/relationships" ref="I21" r:id="rId51"/>
    <hyperlink xmlns:r="http://schemas.openxmlformats.org/officeDocument/2006/relationships" ref="K21" r:id="rId52"/>
    <hyperlink xmlns:r="http://schemas.openxmlformats.org/officeDocument/2006/relationships" ref="L21" r:id="rId53"/>
    <hyperlink xmlns:r="http://schemas.openxmlformats.org/officeDocument/2006/relationships" ref="I23" r:id="rId54"/>
    <hyperlink xmlns:r="http://schemas.openxmlformats.org/officeDocument/2006/relationships" ref="I24" r:id="rId55"/>
    <hyperlink xmlns:r="http://schemas.openxmlformats.org/officeDocument/2006/relationships" ref="K24" r:id="rId56"/>
    <hyperlink xmlns:r="http://schemas.openxmlformats.org/officeDocument/2006/relationships" ref="I25" r:id="rId57"/>
    <hyperlink xmlns:r="http://schemas.openxmlformats.org/officeDocument/2006/relationships" ref="K25" r:id="rId58"/>
    <hyperlink xmlns:r="http://schemas.openxmlformats.org/officeDocument/2006/relationships" ref="I26" r:id="rId59"/>
    <hyperlink xmlns:r="http://schemas.openxmlformats.org/officeDocument/2006/relationships" ref="K26" r:id="rId60"/>
    <hyperlink xmlns:r="http://schemas.openxmlformats.org/officeDocument/2006/relationships" ref="I27" r:id="rId61"/>
    <hyperlink xmlns:r="http://schemas.openxmlformats.org/officeDocument/2006/relationships" ref="K27" r:id="rId62"/>
    <hyperlink xmlns:r="http://schemas.openxmlformats.org/officeDocument/2006/relationships" ref="I28" r:id="rId63"/>
    <hyperlink xmlns:r="http://schemas.openxmlformats.org/officeDocument/2006/relationships" ref="K28" r:id="rId64"/>
    <hyperlink xmlns:r="http://schemas.openxmlformats.org/officeDocument/2006/relationships" ref="I29" r:id="rId65"/>
    <hyperlink xmlns:r="http://schemas.openxmlformats.org/officeDocument/2006/relationships" ref="K29" r:id="rId66"/>
    <hyperlink xmlns:r="http://schemas.openxmlformats.org/officeDocument/2006/relationships" ref="I30" r:id="rId67"/>
    <hyperlink xmlns:r="http://schemas.openxmlformats.org/officeDocument/2006/relationships" ref="I31" r:id="rId68"/>
    <hyperlink xmlns:r="http://schemas.openxmlformats.org/officeDocument/2006/relationships" ref="K31" r:id="rId69"/>
    <hyperlink xmlns:r="http://schemas.openxmlformats.org/officeDocument/2006/relationships" ref="I32" r:id="rId70"/>
    <hyperlink xmlns:r="http://schemas.openxmlformats.org/officeDocument/2006/relationships" ref="K32" r:id="rId71"/>
    <hyperlink xmlns:r="http://schemas.openxmlformats.org/officeDocument/2006/relationships" ref="I33" r:id="rId72"/>
    <hyperlink xmlns:r="http://schemas.openxmlformats.org/officeDocument/2006/relationships" ref="K33" r:id="rId73"/>
    <hyperlink xmlns:r="http://schemas.openxmlformats.org/officeDocument/2006/relationships" ref="I34" r:id="rId74"/>
    <hyperlink xmlns:r="http://schemas.openxmlformats.org/officeDocument/2006/relationships" ref="K34" r:id="rId75"/>
    <hyperlink xmlns:r="http://schemas.openxmlformats.org/officeDocument/2006/relationships" ref="I35" r:id="rId76"/>
    <hyperlink xmlns:r="http://schemas.openxmlformats.org/officeDocument/2006/relationships" ref="I36" r:id="rId77"/>
    <hyperlink xmlns:r="http://schemas.openxmlformats.org/officeDocument/2006/relationships" ref="K36" r:id="rId78"/>
    <hyperlink xmlns:r="http://schemas.openxmlformats.org/officeDocument/2006/relationships" ref="I37" r:id="rId79"/>
    <hyperlink xmlns:r="http://schemas.openxmlformats.org/officeDocument/2006/relationships" ref="K37" r:id="rId80"/>
    <hyperlink xmlns:r="http://schemas.openxmlformats.org/officeDocument/2006/relationships" ref="I38" r:id="rId81"/>
    <hyperlink xmlns:r="http://schemas.openxmlformats.org/officeDocument/2006/relationships" ref="I39" r:id="rId82"/>
    <hyperlink xmlns:r="http://schemas.openxmlformats.org/officeDocument/2006/relationships" ref="K39" r:id="rId83"/>
    <hyperlink xmlns:r="http://schemas.openxmlformats.org/officeDocument/2006/relationships" ref="I40" r:id="rId84"/>
    <hyperlink xmlns:r="http://schemas.openxmlformats.org/officeDocument/2006/relationships" ref="K40" r:id="rId85"/>
    <hyperlink xmlns:r="http://schemas.openxmlformats.org/officeDocument/2006/relationships" ref="I41" r:id="rId86"/>
    <hyperlink xmlns:r="http://schemas.openxmlformats.org/officeDocument/2006/relationships" ref="K41" r:id="rId87"/>
    <hyperlink xmlns:r="http://schemas.openxmlformats.org/officeDocument/2006/relationships" ref="I42" r:id="rId88"/>
    <hyperlink xmlns:r="http://schemas.openxmlformats.org/officeDocument/2006/relationships" ref="K42" r:id="rId89"/>
    <hyperlink xmlns:r="http://schemas.openxmlformats.org/officeDocument/2006/relationships" ref="J44" r:id="rId90"/>
    <hyperlink xmlns:r="http://schemas.openxmlformats.org/officeDocument/2006/relationships" ref="L44" r:id="rId91"/>
    <hyperlink xmlns:r="http://schemas.openxmlformats.org/officeDocument/2006/relationships" ref="J45" r:id="rId92"/>
    <hyperlink xmlns:r="http://schemas.openxmlformats.org/officeDocument/2006/relationships" ref="J46" r:id="rId93"/>
    <hyperlink xmlns:r="http://schemas.openxmlformats.org/officeDocument/2006/relationships" ref="L46" r:id="rId94"/>
    <hyperlink xmlns:r="http://schemas.openxmlformats.org/officeDocument/2006/relationships" ref="J47" r:id="rId95"/>
    <hyperlink xmlns:r="http://schemas.openxmlformats.org/officeDocument/2006/relationships" ref="L48" r:id="rId96"/>
    <hyperlink xmlns:r="http://schemas.openxmlformats.org/officeDocument/2006/relationships" ref="J49" r:id="rId97"/>
    <hyperlink xmlns:r="http://schemas.openxmlformats.org/officeDocument/2006/relationships" ref="L49" r:id="rId98"/>
    <hyperlink xmlns:r="http://schemas.openxmlformats.org/officeDocument/2006/relationships" ref="J50" r:id="rId99"/>
    <hyperlink xmlns:r="http://schemas.openxmlformats.org/officeDocument/2006/relationships" ref="J51" r:id="rId100"/>
    <hyperlink xmlns:r="http://schemas.openxmlformats.org/officeDocument/2006/relationships" ref="L51" r:id="rId101"/>
    <hyperlink xmlns:r="http://schemas.openxmlformats.org/officeDocument/2006/relationships" ref="J52" r:id="rId102"/>
    <hyperlink xmlns:r="http://schemas.openxmlformats.org/officeDocument/2006/relationships" ref="L52" r:id="rId103"/>
    <hyperlink xmlns:r="http://schemas.openxmlformats.org/officeDocument/2006/relationships" ref="J53" r:id="rId104"/>
    <hyperlink xmlns:r="http://schemas.openxmlformats.org/officeDocument/2006/relationships" ref="L53" r:id="rId105"/>
    <hyperlink xmlns:r="http://schemas.openxmlformats.org/officeDocument/2006/relationships" ref="L54" r:id="rId106"/>
    <hyperlink xmlns:r="http://schemas.openxmlformats.org/officeDocument/2006/relationships" ref="L55" r:id="rId107"/>
    <hyperlink xmlns:r="http://schemas.openxmlformats.org/officeDocument/2006/relationships" ref="L56" r:id="rId108"/>
    <hyperlink xmlns:r="http://schemas.openxmlformats.org/officeDocument/2006/relationships" ref="J57" r:id="rId109"/>
    <hyperlink xmlns:r="http://schemas.openxmlformats.org/officeDocument/2006/relationships" ref="L57" r:id="rId110"/>
    <hyperlink xmlns:r="http://schemas.openxmlformats.org/officeDocument/2006/relationships" ref="J58" r:id="rId111"/>
    <hyperlink xmlns:r="http://schemas.openxmlformats.org/officeDocument/2006/relationships" ref="L58" r:id="rId112"/>
    <hyperlink xmlns:r="http://schemas.openxmlformats.org/officeDocument/2006/relationships" ref="J59" r:id="rId113"/>
    <hyperlink xmlns:r="http://schemas.openxmlformats.org/officeDocument/2006/relationships" ref="J60" r:id="rId114"/>
    <hyperlink xmlns:r="http://schemas.openxmlformats.org/officeDocument/2006/relationships" ref="L60" r:id="rId115"/>
    <hyperlink xmlns:r="http://schemas.openxmlformats.org/officeDocument/2006/relationships" ref="J61" r:id="rId116"/>
    <hyperlink xmlns:r="http://schemas.openxmlformats.org/officeDocument/2006/relationships" ref="J62" r:id="rId117"/>
    <hyperlink xmlns:r="http://schemas.openxmlformats.org/officeDocument/2006/relationships" ref="L62" r:id="rId118"/>
    <hyperlink xmlns:r="http://schemas.openxmlformats.org/officeDocument/2006/relationships" ref="L63" r:id="rId119"/>
  </hyperlink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N42"/>
  <sheetViews>
    <sheetView workbookViewId="0">
      <selection activeCell="A1" sqref="A1"/>
    </sheetView>
  </sheetViews>
  <sheetFormatPr baseColWidth="8" defaultColWidth="12.63" defaultRowHeight="15" customHeight="1"/>
  <cols>
    <col width="12.63" customWidth="1" style="48" min="1" max="6"/>
  </cols>
  <sheetData>
    <row r="1" ht="15.75" customHeight="1" s="48">
      <c r="A1" s="1" t="inlineStr">
        <is>
          <t>OSrXXb</t>
        </is>
      </c>
      <c r="B1" s="1" t="inlineStr">
        <is>
          <t>rllt__details</t>
        </is>
      </c>
      <c r="C1" s="1" t="inlineStr">
        <is>
          <t>yi40Hd</t>
        </is>
      </c>
      <c r="D1" s="1" t="inlineStr">
        <is>
          <t>RDApEe</t>
        </is>
      </c>
      <c r="E1" s="1" t="inlineStr">
        <is>
          <t>rllt__details 2</t>
        </is>
      </c>
      <c r="F1" s="1" t="inlineStr">
        <is>
          <t>rllt__details 3</t>
        </is>
      </c>
      <c r="G1" s="1" t="inlineStr">
        <is>
          <t>rllt__details 4</t>
        </is>
      </c>
      <c r="H1" s="1" t="inlineStr">
        <is>
          <t>rllt__details 5</t>
        </is>
      </c>
      <c r="I1" s="1" t="inlineStr">
        <is>
          <t>uDyWh</t>
        </is>
      </c>
      <c r="J1" s="1" t="inlineStr">
        <is>
          <t>yYlJEf href</t>
        </is>
      </c>
      <c r="K1" s="1" t="inlineStr">
        <is>
          <t>QuU3Wb</t>
        </is>
      </c>
      <c r="L1" s="1" t="inlineStr">
        <is>
          <t>yYlJEf href 2</t>
        </is>
      </c>
      <c r="M1" s="1" t="inlineStr">
        <is>
          <t>QuU3Wb 2</t>
        </is>
      </c>
      <c r="N1" s="1" t="inlineStr">
        <is>
          <t>uDyWh 2</t>
        </is>
      </c>
    </row>
    <row r="2" ht="15.75" customHeight="1" s="48">
      <c r="A2" s="1" t="inlineStr">
        <is>
          <t>Arcadia HVAC Services - Heating &amp; Air Conditioning</t>
        </is>
      </c>
      <c r="B2" s="1" t="inlineStr">
        <is>
          <t>· HVAC contractor</t>
        </is>
      </c>
      <c r="C2" s="1" t="inlineStr">
        <is>
          <t>4,9</t>
        </is>
      </c>
      <c r="D2" s="1" t="n">
        <v>-9</v>
      </c>
      <c r="E2" s="1" t="inlineStr">
        <is>
          <t>10+ years in business · Arcadia, CA, United States</t>
        </is>
      </c>
      <c r="F2" s="1" t="inlineStr">
        <is>
          <t>· +1 626-231-7959</t>
        </is>
      </c>
      <c r="G2" s="1" t="inlineStr">
        <is>
          <t>· Closes 8 pm</t>
        </is>
      </c>
      <c r="H2" s="1" t="inlineStr">
        <is>
          <t>Open</t>
        </is>
      </c>
      <c r="I2" s="1" t="inlineStr">
        <is>
          <t>"The technician was kind, respectful, and explained everything clearly."</t>
        </is>
      </c>
      <c r="J2" s="2" t="inlineStr">
        <is>
          <t>https://www.google.com/maps/dir//Arcadia+HVAC+Services+-+Heating+%26+Air+Conditioning,+643+W+Duarte+Rd,+Arcadia,+CA+91007,+United+States/data=!4m6!4m5!1m1!4e2!1m2!1m1!1s0x80c2dbdae215ba25:0x9219b7499e9ab8b9?sa=X&amp;ved=1t:57443&amp;ictx=111</t>
        </is>
      </c>
      <c r="K2" s="1" t="inlineStr">
        <is>
          <t>Directions</t>
        </is>
      </c>
    </row>
    <row r="3" ht="15.75" customHeight="1" s="48">
      <c r="A3" s="1" t="inlineStr">
        <is>
          <t>C&amp;M Air Conditioning And Heating Inc</t>
        </is>
      </c>
      <c r="B3" s="1" t="inlineStr">
        <is>
          <t>· HVAC contractor</t>
        </is>
      </c>
      <c r="C3" s="1" t="inlineStr">
        <is>
          <t>5,0</t>
        </is>
      </c>
      <c r="D3" s="1" t="n">
        <v>-47</v>
      </c>
      <c r="E3" s="1" t="inlineStr">
        <is>
          <t>3+ years in business · Arcadia, CA, United States</t>
        </is>
      </c>
      <c r="F3" s="1" t="inlineStr">
        <is>
          <t>· +1 213-884-7183</t>
        </is>
      </c>
      <c r="H3" s="1" t="inlineStr">
        <is>
          <t>Open 24 hours</t>
        </is>
      </c>
      <c r="I3" s="1" t="inlineStr">
        <is>
          <t>"Great job, on time job, price is reasonable and after all Nice people."</t>
        </is>
      </c>
      <c r="J3" s="2" t="inlineStr">
        <is>
          <t>https://www.google.com/maps/dir//C%26M+Air+Conditioning+And+Heating+Inc,+125+E+St+Joseph+St+Apt+E,+Arcadia,+CA+91006,+United+States/data=!4m6!4m5!1m1!4e2!1m2!1m1!1s0x80c2db8899682ded:0xeadfe7896d5367f6?sa=X&amp;ved=1t:57443&amp;ictx=111</t>
        </is>
      </c>
      <c r="K3" s="1" t="inlineStr">
        <is>
          <t>Directions</t>
        </is>
      </c>
      <c r="L3" s="2" t="inlineStr">
        <is>
          <t>https://cm-hvacservice.com/</t>
        </is>
      </c>
      <c r="M3" s="1" t="inlineStr">
        <is>
          <t>Website</t>
        </is>
      </c>
    </row>
    <row r="4" ht="15.75" customHeight="1" s="48">
      <c r="A4" s="1" t="inlineStr">
        <is>
          <t>NexGen HVAC &amp; Plumbing</t>
        </is>
      </c>
      <c r="B4" s="1" t="inlineStr">
        <is>
          <t>· HVAC contractor</t>
        </is>
      </c>
      <c r="C4" s="1" t="inlineStr">
        <is>
          <t>4,7</t>
        </is>
      </c>
      <c r="D4" s="1" t="n">
        <v>-538</v>
      </c>
      <c r="E4" s="1" t="inlineStr">
        <is>
          <t>10+ years in business · Arcadia, CA, United States</t>
        </is>
      </c>
      <c r="F4" s="1" t="inlineStr">
        <is>
          <t>· +1 626-602-9437</t>
        </is>
      </c>
      <c r="H4" s="1" t="inlineStr">
        <is>
          <t>Open 24 hours</t>
        </is>
      </c>
      <c r="I4" s="1" t="inlineStr">
        <is>
          <t>"Diagnosed problem fast,and didn’t overcharge me."</t>
        </is>
      </c>
      <c r="J4" s="2" t="inlineStr">
        <is>
          <t>https://www.google.com/maps/dir//NexGen+HVAC+%26+Plumbing,+5441+Cogswell+Rd+Unit+F,+Arcadia,+CA+91006,+United+States/data=!4m6!4m5!1m1!4e2!1m2!1m1!1s0x80c2d926b17ba6ed:0x29391daee5b88a21?sa=X&amp;ved=1t:57443&amp;ictx=111</t>
        </is>
      </c>
      <c r="K4" s="1" t="inlineStr">
        <is>
          <t>Directions</t>
        </is>
      </c>
      <c r="L4" s="2" t="inlineStr">
        <is>
          <t>https://nexgenairandplumbing.com/locations/arcadia/?utm_campaign=gmb-listing-arcadia&amp;utm_source=google&amp;utm_medium=organic</t>
        </is>
      </c>
      <c r="M4" s="1" t="inlineStr">
        <is>
          <t>Website</t>
        </is>
      </c>
    </row>
    <row r="5" ht="15.75" customHeight="1" s="48">
      <c r="A5" s="1" t="inlineStr">
        <is>
          <t>Eco Heating &amp; AC Repair Arcadia</t>
        </is>
      </c>
      <c r="B5" s="1" t="inlineStr">
        <is>
          <t>· Air conditioning repair service</t>
        </is>
      </c>
      <c r="C5" s="1" t="inlineStr">
        <is>
          <t>5,0</t>
        </is>
      </c>
      <c r="D5" s="1" t="n">
        <v>-2</v>
      </c>
      <c r="E5" s="1" t="inlineStr">
        <is>
          <t>Arcadia, CA, United States</t>
        </is>
      </c>
      <c r="F5" s="1" t="inlineStr">
        <is>
          <t>· +1 626-649-4619</t>
        </is>
      </c>
      <c r="H5" s="1" t="inlineStr">
        <is>
          <t>Open 24 hours</t>
        </is>
      </c>
      <c r="J5" s="2" t="inlineStr">
        <is>
          <t>https://www.google.com/maps/dir//Eco+Heating+%26+AC+Repair+Arcadia,+743+W+Duarte+Rd,+Arcadia,+CA+91007,+United+States/data=!4m6!4m5!1m1!4e2!1m2!1m1!1s0x86790394b1ad84ed:0x6860ed7b0de9792c?sa=X&amp;ved=1t:57443&amp;ictx=111</t>
        </is>
      </c>
      <c r="K5" s="1" t="inlineStr">
        <is>
          <t>Directions</t>
        </is>
      </c>
      <c r="L5" s="2" t="inlineStr">
        <is>
          <t>https://ecoheatingair.com/</t>
        </is>
      </c>
      <c r="M5" s="1" t="inlineStr">
        <is>
          <t>Website</t>
        </is>
      </c>
    </row>
    <row r="6" ht="15.75" customHeight="1" s="48">
      <c r="A6" s="1" t="inlineStr">
        <is>
          <t>The Air Conditioning Guy</t>
        </is>
      </c>
      <c r="B6" s="1" t="inlineStr">
        <is>
          <t>· HVAC contractor</t>
        </is>
      </c>
      <c r="C6" s="1" t="inlineStr">
        <is>
          <t>5,0</t>
        </is>
      </c>
      <c r="D6" s="1" t="n">
        <v>-94</v>
      </c>
      <c r="E6" s="1" t="inlineStr">
        <is>
          <t>15+ years in business</t>
        </is>
      </c>
      <c r="F6" s="1" t="inlineStr">
        <is>
          <t>· +1 626-872-3650</t>
        </is>
      </c>
      <c r="G6" s="1" t="inlineStr">
        <is>
          <t>· Closes 6:30 pm</t>
        </is>
      </c>
      <c r="H6" s="1" t="inlineStr">
        <is>
          <t>Open</t>
        </is>
      </c>
      <c r="I6" s="1" t="inlineStr">
        <is>
          <t>"In under an hour he completed the job and our  was fixed."</t>
        </is>
      </c>
      <c r="L6" s="2" t="inlineStr">
        <is>
          <t>https://theaircoguy.com/</t>
        </is>
      </c>
      <c r="M6" s="1" t="inlineStr">
        <is>
          <t>Website</t>
        </is>
      </c>
      <c r="N6" s="1" t="inlineStr">
        <is>
          <t>AC</t>
        </is>
      </c>
    </row>
    <row r="7" ht="15.75" customHeight="1" s="48">
      <c r="A7" s="1" t="inlineStr">
        <is>
          <t>Aire Serv of Pasadena</t>
        </is>
      </c>
      <c r="B7" s="1" t="inlineStr">
        <is>
          <t>· HVAC contractor</t>
        </is>
      </c>
      <c r="C7" s="1" t="inlineStr">
        <is>
          <t>4,9</t>
        </is>
      </c>
      <c r="D7" s="1" t="n">
        <v>-394</v>
      </c>
      <c r="E7" s="1" t="inlineStr">
        <is>
          <t>30+ years in business · Arcadia, CA, United States</t>
        </is>
      </c>
      <c r="F7" s="1" t="inlineStr">
        <is>
          <t>· +1 626-389-8498</t>
        </is>
      </c>
      <c r="H7" s="1" t="inlineStr">
        <is>
          <t>Open 24 hours</t>
        </is>
      </c>
      <c r="I7" s="1" t="inlineStr">
        <is>
          <t>"He diagnosed the problem, fixed it and helped me with a discount."</t>
        </is>
      </c>
      <c r="J7" s="2" t="inlineStr">
        <is>
          <t>https://www.google.com/maps/dir//Aire+Serv+of+Pasadena,+125+E+Santa+Clara+St+%2317,+Arcadia,+CA+91006,+United+States/data=!4m6!4m5!1m1!4e2!1m2!1m1!1s0x80c2dbe778ff2e9f:0x1841cdbe57a41ca5?sa=X&amp;ved=1t:57443&amp;ictx=111</t>
        </is>
      </c>
      <c r="K7" s="1" t="inlineStr">
        <is>
          <t>Directions</t>
        </is>
      </c>
      <c r="L7" s="2" t="inlineStr">
        <is>
          <t>https://www.aireserv.com/pasadena/?cid=LSTL_ASV-US000187&amp;utm_source=gmb&amp;utm_campaign=local&amp;utm_medium=organic</t>
        </is>
      </c>
      <c r="M7" s="1" t="inlineStr">
        <is>
          <t>Website</t>
        </is>
      </c>
    </row>
    <row r="8" ht="15.75" customHeight="1" s="48">
      <c r="A8" s="1" t="inlineStr">
        <is>
          <t>Aryco HVAC</t>
        </is>
      </c>
      <c r="B8" s="1" t="inlineStr">
        <is>
          <t>· HVAC contractor</t>
        </is>
      </c>
      <c r="C8" s="1" t="inlineStr">
        <is>
          <t>4,9</t>
        </is>
      </c>
      <c r="D8" s="1" t="n">
        <v>-253</v>
      </c>
      <c r="E8" s="1" t="inlineStr">
        <is>
          <t>30+ years in business · Monrovia, CA, United States</t>
        </is>
      </c>
      <c r="F8" s="1" t="inlineStr">
        <is>
          <t>· +1 626-559-0990</t>
        </is>
      </c>
      <c r="G8" s="1" t="inlineStr">
        <is>
          <t>· Closes 5 pm</t>
        </is>
      </c>
      <c r="H8" s="1" t="inlineStr">
        <is>
          <t>Open</t>
        </is>
      </c>
      <c r="I8" s="1" t="inlineStr">
        <is>
          <t>"I had a problem with my  system, and he came right away and fixed it."</t>
        </is>
      </c>
      <c r="J8" s="2" t="inlineStr">
        <is>
          <t>https://www.google.com/maps/dir//Aryco+HVAC,+140+E+Palm+Ave,+Monrovia,+CA+91016,+United+States/data=!4m6!4m5!1m1!4e2!1m2!1m1!1s0x80c2d94a8192d98d:0xc7f5be8c462578b6?sa=X&amp;ved=1t:57443&amp;ictx=111</t>
        </is>
      </c>
      <c r="K8" s="1" t="inlineStr">
        <is>
          <t>Directions</t>
        </is>
      </c>
      <c r="L8" s="2" t="inlineStr">
        <is>
          <t>https://arycohvac.com/</t>
        </is>
      </c>
      <c r="M8" s="1" t="inlineStr">
        <is>
          <t>Website</t>
        </is>
      </c>
      <c r="N8" s="1" t="inlineStr">
        <is>
          <t>AC</t>
        </is>
      </c>
    </row>
    <row r="9" ht="15.75" customHeight="1" s="48">
      <c r="A9" s="1" t="inlineStr">
        <is>
          <t>Lindsey's Heat &amp; Air</t>
        </is>
      </c>
      <c r="B9" s="1" t="inlineStr">
        <is>
          <t>· HVAC contractor</t>
        </is>
      </c>
      <c r="C9" s="1" t="inlineStr">
        <is>
          <t>4,8</t>
        </is>
      </c>
      <c r="D9" s="1" t="n">
        <v>-21</v>
      </c>
      <c r="E9" s="1" t="inlineStr">
        <is>
          <t>20+ years in business · Arcadia, CA, United States</t>
        </is>
      </c>
      <c r="F9" s="1" t="inlineStr">
        <is>
          <t>· +1 626-794-1191</t>
        </is>
      </c>
      <c r="G9" s="1" t="inlineStr">
        <is>
          <t>· Closes 4 pm</t>
        </is>
      </c>
      <c r="H9" s="1" t="inlineStr">
        <is>
          <t>Open</t>
        </is>
      </c>
      <c r="I9" s="1" t="inlineStr">
        <is>
          <t>"Lindsey  were great."</t>
        </is>
      </c>
      <c r="J9" s="2" t="inlineStr">
        <is>
          <t>https://www.google.com/maps/dir//Lindsey's+Heat+%26+Air,+333+N+Santa+Anita+Ave+UNIT+16,+Arcadia,+CA+91006,+United+States/data=!4m6!4m5!1m1!4e2!1m2!1m1!1s0x80c2dbe892627f5b:0xefee8f7425f5bd4f?sa=X&amp;ved=1t:57443&amp;ictx=111</t>
        </is>
      </c>
      <c r="K9" s="1" t="inlineStr">
        <is>
          <t>Directions</t>
        </is>
      </c>
      <c r="L9" s="2" t="inlineStr">
        <is>
          <t>http://lindseysheatandair.com/</t>
        </is>
      </c>
      <c r="M9" s="1" t="inlineStr">
        <is>
          <t>Website</t>
        </is>
      </c>
      <c r="N9" s="1" t="inlineStr">
        <is>
          <t>HVAC services</t>
        </is>
      </c>
    </row>
    <row r="10" ht="15.75" customHeight="1" s="48">
      <c r="A10" s="1" t="inlineStr">
        <is>
          <t>Supreme HVAC Repair Arcadia CA</t>
        </is>
      </c>
      <c r="B10" s="1" t="inlineStr">
        <is>
          <t>· HVAC contractor</t>
        </is>
      </c>
      <c r="C10" s="1" t="inlineStr">
        <is>
          <t>5,0</t>
        </is>
      </c>
      <c r="D10" s="1" t="n">
        <v>-31</v>
      </c>
      <c r="E10" s="1" t="inlineStr">
        <is>
          <t>Arcadia, CA, United States</t>
        </is>
      </c>
      <c r="F10" s="1" t="inlineStr">
        <is>
          <t>· +1 626-275-9370</t>
        </is>
      </c>
      <c r="G10" s="1" t="inlineStr">
        <is>
          <t>· Closes 4 pm</t>
        </is>
      </c>
      <c r="H10" s="1" t="inlineStr">
        <is>
          <t>Open</t>
        </is>
      </c>
      <c r="I10" s="1" t="inlineStr">
        <is>
          <t>"They are reliable, prompt and have great pricing every time."</t>
        </is>
      </c>
      <c r="J10" s="2" t="inlineStr">
        <is>
          <t>https://www.google.com/maps/dir//Supreme+HVAC+Repair+Arcadia+CA,+127+La+Porte+St+g,+Arcadia,+CA+91006,+United+States/data=!4m6!4m5!1m1!4e2!1m2!1m1!1s0x80c2dbbf5a085327:0x172c1c564c458535?sa=X&amp;ved=1t:57443&amp;ictx=111</t>
        </is>
      </c>
      <c r="K10" s="1" t="inlineStr">
        <is>
          <t>Directions</t>
        </is>
      </c>
    </row>
    <row r="11" ht="15.75" customHeight="1" s="48">
      <c r="A11" s="1" t="inlineStr">
        <is>
          <t>Air-Tech Air Conditioning &amp; Heating, Inc.</t>
        </is>
      </c>
      <c r="B11" s="1" t="inlineStr">
        <is>
          <t>· HVAC contractor</t>
        </is>
      </c>
      <c r="C11" s="1" t="inlineStr">
        <is>
          <t>4,9</t>
        </is>
      </c>
      <c r="D11" s="1" t="n">
        <v>-834</v>
      </c>
      <c r="E11" s="1" t="inlineStr">
        <is>
          <t>35+ years in business · Pasadena, CA, United States</t>
        </is>
      </c>
      <c r="F11" s="1" t="inlineStr">
        <is>
          <t>· +1 626-795-8880</t>
        </is>
      </c>
      <c r="G11" s="1" t="inlineStr">
        <is>
          <t>· Closes 6 pm</t>
        </is>
      </c>
      <c r="H11" s="1" t="inlineStr">
        <is>
          <t>Open</t>
        </is>
      </c>
      <c r="I11" s="1" t="inlineStr">
        <is>
          <t>"In no time my  was humming perfectly at the end of his  ."</t>
        </is>
      </c>
      <c r="J11" s="2" t="inlineStr">
        <is>
          <t>https://www.google.com/maps/dir//Air-Tech+Air+Conditioning+%26+Heating,+Inc.,+204+S+Rosemead+Blvd,+Pasadena,+CA+91107,+United+States/data=!4m6!4m5!1m1!4e2!1m2!1m1!1s0x80c2db7a46cf12dd:0x8e0c807381bc7655?sa=X&amp;ved=1t:57443&amp;ictx=111</t>
        </is>
      </c>
      <c r="K11" s="1" t="inlineStr">
        <is>
          <t>Directions</t>
        </is>
      </c>
      <c r="L11" s="2" t="inlineStr">
        <is>
          <t>https://www.airtechac.com/?utm_source=google&amp;utm_medium=organic&amp;utm_campaign=gbp</t>
        </is>
      </c>
      <c r="M11" s="1" t="inlineStr">
        <is>
          <t>Website</t>
        </is>
      </c>
      <c r="N11" s="1" t="inlineStr">
        <is>
          <t>AC</t>
        </is>
      </c>
    </row>
    <row r="12" ht="15.75" customHeight="1" s="48">
      <c r="A12" s="1" t="inlineStr">
        <is>
          <t>Duarte Heating &amp; Air Conditioning</t>
        </is>
      </c>
      <c r="B12" s="1" t="inlineStr">
        <is>
          <t>· HVAC contractor</t>
        </is>
      </c>
      <c r="C12" s="1" t="inlineStr">
        <is>
          <t>5,0</t>
        </is>
      </c>
      <c r="D12" s="1" t="n">
        <v>-64</v>
      </c>
      <c r="E12" s="1" t="inlineStr">
        <is>
          <t>10+ years in business · Duarte, CA, United States</t>
        </is>
      </c>
      <c r="F12" s="1" t="inlineStr">
        <is>
          <t>· +1 626-470-6107</t>
        </is>
      </c>
      <c r="H12" s="1" t="inlineStr">
        <is>
          <t>Open 24 hours</t>
        </is>
      </c>
      <c r="I12" s="1" t="inlineStr">
        <is>
          <t>"They handled my  and heater repair with skill and finished on time."</t>
        </is>
      </c>
      <c r="J12" s="2" t="inlineStr">
        <is>
          <t>https://www.google.com/maps/dir//Duarte+Heating+%26+Air+Conditioning,+1800+Highland+Ave,+Duarte,+CA+91010,+United+States/data=!4m6!4m5!1m1!4e2!1m2!1m1!1s0x87e5c7ebc0b792f5:0x167f76d7c7791162?sa=X&amp;ved=1t:57443&amp;ictx=111</t>
        </is>
      </c>
      <c r="K12" s="1" t="inlineStr">
        <is>
          <t>Directions</t>
        </is>
      </c>
      <c r="L12" s="2" t="inlineStr">
        <is>
          <t>http://duarte-ac-repair.com/</t>
        </is>
      </c>
      <c r="M12" s="1" t="inlineStr">
        <is>
          <t>Website</t>
        </is>
      </c>
      <c r="N12" s="1" t="inlineStr">
        <is>
          <t>AC</t>
        </is>
      </c>
    </row>
    <row r="13" ht="15.75" customHeight="1" s="48">
      <c r="A13" s="1" t="inlineStr">
        <is>
          <t>Air-Tro Inc</t>
        </is>
      </c>
      <c r="B13" s="1" t="inlineStr">
        <is>
          <t>· HVAC contractor</t>
        </is>
      </c>
      <c r="C13" s="1" t="inlineStr">
        <is>
          <t>4,7</t>
        </is>
      </c>
      <c r="D13" s="1" t="n">
        <v>-543</v>
      </c>
      <c r="E13" s="1" t="inlineStr">
        <is>
          <t>55+ years in business · Monrovia, CA, United States</t>
        </is>
      </c>
      <c r="F13" s="1" t="inlineStr">
        <is>
          <t>· +1 626-357-3535</t>
        </is>
      </c>
      <c r="G13" s="1" t="inlineStr">
        <is>
          <t>· Closes 5 pm</t>
        </is>
      </c>
      <c r="H13" s="1" t="inlineStr">
        <is>
          <t>Open</t>
        </is>
      </c>
      <c r="I13" s="1" t="inlineStr">
        <is>
          <t>"Very professional and solved our problem within an hour.. great Job"</t>
        </is>
      </c>
      <c r="J13" s="2" t="inlineStr">
        <is>
          <t>https://www.google.com/maps/dir//Air-Tro+Inc,+1630+S+Myrtle+Ave,+Monrovia,+CA+91016,+United+States/data=!4m6!4m5!1m1!4e2!1m2!1m1!1s0x80c2d974074b7761:0x7fccf3ea3f0ed52d?sa=X&amp;ved=1t:57443&amp;ictx=111</t>
        </is>
      </c>
      <c r="K13" s="1" t="inlineStr">
        <is>
          <t>Directions</t>
        </is>
      </c>
      <c r="L13" s="2" t="inlineStr">
        <is>
          <t>https://www.airtro.com/</t>
        </is>
      </c>
      <c r="M13" s="1" t="inlineStr">
        <is>
          <t>Website</t>
        </is>
      </c>
    </row>
    <row r="14" ht="15.75" customHeight="1" s="48">
      <c r="A14" s="1" t="inlineStr">
        <is>
          <t>ABR Heating &amp; Air Conditioning</t>
        </is>
      </c>
      <c r="B14" s="1" t="inlineStr">
        <is>
          <t>· HVAC contractor</t>
        </is>
      </c>
      <c r="C14" s="1" t="inlineStr">
        <is>
          <t>5,0</t>
        </is>
      </c>
      <c r="D14" s="1" t="n">
        <v>-7</v>
      </c>
      <c r="E14" s="1" t="inlineStr">
        <is>
          <t>Arcadia, CA, United States</t>
        </is>
      </c>
      <c r="F14" s="1" t="inlineStr">
        <is>
          <t>· +1 626-671-1255</t>
        </is>
      </c>
      <c r="H14" s="1" t="inlineStr">
        <is>
          <t>Open 24 hours</t>
        </is>
      </c>
      <c r="I14" s="1" t="inlineStr">
        <is>
          <t>"He diagnosed the  issue quickly and fixed it without delay."</t>
        </is>
      </c>
      <c r="J14" s="2" t="inlineStr">
        <is>
          <t>https://www.google.com/maps/dir//ABR+Heating+%26+Air+Conditioning,+127+La+Porte+St+g,+Arcadia,+CA+91006,+United+States/data=!4m6!4m5!1m1!4e2!1m2!1m1!1s0x80c2db65c0d8ba21:0xfbfd10dadac034e7?sa=X&amp;ved=1t:57443&amp;ictx=111</t>
        </is>
      </c>
      <c r="K14" s="1" t="inlineStr">
        <is>
          <t>Directions</t>
        </is>
      </c>
      <c r="N14" s="1" t="inlineStr">
        <is>
          <t>air conditioning</t>
        </is>
      </c>
    </row>
    <row r="15" ht="15.75" customHeight="1" s="48">
      <c r="A15" s="1" t="inlineStr">
        <is>
          <t>Coast Heating &amp; AC Repair Arcadia</t>
        </is>
      </c>
      <c r="B15" s="1" t="inlineStr">
        <is>
          <t>· Air conditioning contractor</t>
        </is>
      </c>
      <c r="C15" s="1" t="inlineStr">
        <is>
          <t>4,6</t>
        </is>
      </c>
      <c r="D15" s="1" t="n">
        <v>-10</v>
      </c>
      <c r="E15" s="1" t="inlineStr">
        <is>
          <t>Arcadia, CA, United States</t>
        </is>
      </c>
      <c r="F15" s="1" t="inlineStr">
        <is>
          <t>· +1 626-708-4832</t>
        </is>
      </c>
      <c r="H15" s="1" t="inlineStr">
        <is>
          <t>Open 24 hours</t>
        </is>
      </c>
      <c r="I15" s="1" t="inlineStr">
        <is>
          <t>"Price was also fair."</t>
        </is>
      </c>
      <c r="J15" s="2" t="inlineStr">
        <is>
          <t>https://www.google.com/maps/dir//Coast+Heating+%26+AC+Repair+Arcadia,+400+S+Baldwin+Ave,+Arcadia,+CA+91007,+United+States/data=!4m6!4m5!1m1!4e2!1m2!1m1!1s0x87d2bd56addab223:0x5944bd8183bd73e0?sa=X&amp;ved=1t:57443&amp;ictx=111</t>
        </is>
      </c>
      <c r="K15" s="1" t="inlineStr">
        <is>
          <t>Directions</t>
        </is>
      </c>
    </row>
    <row r="16" ht="15.75" customHeight="1" s="48">
      <c r="A16" s="1" t="inlineStr">
        <is>
          <t>AC Tech Inc.</t>
        </is>
      </c>
      <c r="B16" s="1" t="inlineStr">
        <is>
          <t>· HVAC contractor</t>
        </is>
      </c>
      <c r="C16" s="1" t="inlineStr">
        <is>
          <t>5,0</t>
        </is>
      </c>
      <c r="D16" s="1" t="n">
        <v>-10</v>
      </c>
      <c r="E16" s="1" t="inlineStr">
        <is>
          <t>3+ years in business · Monrovia, CA, United States</t>
        </is>
      </c>
      <c r="F16" s="1" t="inlineStr">
        <is>
          <t>· +1 626-689-8068</t>
        </is>
      </c>
      <c r="G16" s="1" t="inlineStr">
        <is>
          <t>· Closes 6 pm</t>
        </is>
      </c>
      <c r="H16" s="1" t="inlineStr">
        <is>
          <t>Open</t>
        </is>
      </c>
      <c r="I16" s="1" t="inlineStr">
        <is>
          <t>"They can on time and finish the job in one day."</t>
        </is>
      </c>
      <c r="J16" s="2" t="inlineStr">
        <is>
          <t>https://www.google.com/maps/dir//AC+Tech+Inc.,+246+W+Chestnut+Ave,+Monrovia,+CA+91016,+United+States/data=!4m6!4m5!1m1!4e2!1m2!1m1!1s0x80c2d9e0f885ca83:0xdb5ffcfc5d63a38?sa=X&amp;ved=1t:57443&amp;ictx=111</t>
        </is>
      </c>
      <c r="K16" s="1" t="inlineStr">
        <is>
          <t>Directions</t>
        </is>
      </c>
      <c r="L16" s="2" t="inlineStr">
        <is>
          <t>https://www.kcairandheat.com/?utm_source=google&amp;utm_medium=organic&amp;utm_campaign=gbp</t>
        </is>
      </c>
      <c r="M16" s="1" t="inlineStr">
        <is>
          <t>Website</t>
        </is>
      </c>
    </row>
    <row r="17" ht="15.75" customHeight="1" s="48">
      <c r="A17" s="1" t="inlineStr">
        <is>
          <t>Summer Heating &amp; Air Conditioning</t>
        </is>
      </c>
      <c r="B17" s="1" t="inlineStr">
        <is>
          <t>· HVAC contractor</t>
        </is>
      </c>
      <c r="C17" s="1" t="inlineStr">
        <is>
          <t>5,0</t>
        </is>
      </c>
      <c r="D17" s="1" t="n">
        <v>-19</v>
      </c>
      <c r="E17" s="1" t="inlineStr">
        <is>
          <t>10+ years in business · Arcadia, CA, United States</t>
        </is>
      </c>
      <c r="F17" s="1" t="inlineStr">
        <is>
          <t>· +1 424-330-8191</t>
        </is>
      </c>
      <c r="H17" s="1" t="inlineStr">
        <is>
          <t>Open 24 hours</t>
        </is>
      </c>
      <c r="J17" s="2" t="inlineStr">
        <is>
          <t>https://www.google.com/maps/dir//Summer+Heating+%26+Air+Conditioning,+150+N+Santa+Anita+Ave+%23453,+Arcadia,+CA+91006,+United+States/data=!4m6!4m5!1m1!4e2!1m2!1m1!1s0x54afaaa2e44d3637:0xeecf8b5ae6681a33?sa=X&amp;ved=1t:57443&amp;ictx=111</t>
        </is>
      </c>
      <c r="K17" s="1" t="inlineStr">
        <is>
          <t>Directions</t>
        </is>
      </c>
    </row>
    <row r="18" ht="15.75" customHeight="1" s="48">
      <c r="A18" s="1" t="inlineStr">
        <is>
          <t>Arcadias Heating and Air Conditioning</t>
        </is>
      </c>
      <c r="B18" s="1" t="inlineStr">
        <is>
          <t>· Air conditioning contractor</t>
        </is>
      </c>
      <c r="C18" s="1" t="inlineStr">
        <is>
          <t>5,0</t>
        </is>
      </c>
      <c r="D18" s="1" t="n">
        <v>-2</v>
      </c>
      <c r="E18" s="1" t="inlineStr">
        <is>
          <t>Monrovia, CA, United States</t>
        </is>
      </c>
      <c r="G18" s="1" t="inlineStr">
        <is>
          <t>· Closes 7:30 pm</t>
        </is>
      </c>
      <c r="H18" s="1" t="inlineStr">
        <is>
          <t>Open</t>
        </is>
      </c>
      <c r="I18" s="1" t="inlineStr">
        <is>
          <t>" were quick, affordable and 100% professional."</t>
        </is>
      </c>
      <c r="J18" s="2" t="inlineStr">
        <is>
          <t>https://www.google.com/maps/dir//Arcadias+Heating+and+Air+Conditioning,+336+W+Chestnut+Ave,+Monrovia,+CA+91016,+United+States/data=!4m6!4m5!1m1!4e2!1m2!1m1!1s0x80c2d90e4267a61b:0x7e6c2cf1d2e873bc?sa=X&amp;ved=1t:57443&amp;ictx=111</t>
        </is>
      </c>
      <c r="K18" s="1" t="inlineStr">
        <is>
          <t>Directions</t>
        </is>
      </c>
      <c r="N18" s="1" t="inlineStr">
        <is>
          <t>Services</t>
        </is>
      </c>
    </row>
    <row r="19" ht="15.75" customHeight="1" s="48">
      <c r="A19" s="1" t="inlineStr">
        <is>
          <t>Coastal Comfort Heating &amp; AC Repair Arcadia</t>
        </is>
      </c>
      <c r="B19" s="1" t="inlineStr">
        <is>
          <t>· Air conditioning contractor</t>
        </is>
      </c>
      <c r="C19" s="1" t="inlineStr">
        <is>
          <t>5,0</t>
        </is>
      </c>
      <c r="D19" s="1" t="n">
        <v>-1</v>
      </c>
      <c r="E19" s="1" t="inlineStr">
        <is>
          <t>10+ years in business · Arcadia, CA, United States</t>
        </is>
      </c>
      <c r="F19" s="1" t="inlineStr">
        <is>
          <t>· +1 626-360-1663</t>
        </is>
      </c>
      <c r="H19" s="1" t="inlineStr">
        <is>
          <t>Open 24 hours</t>
        </is>
      </c>
      <c r="J19" s="2" t="inlineStr">
        <is>
          <t>https://www.google.com/maps/dir//Coastal+Comfort+Heating+%26+AC+Repair+Arcadia,+145+E+Duarte+Rd+suite+g,+Arcadia,+CA+91006,+United+States/data=!4m6!4m5!1m1!4e2!1m2!1m1!1s0x80c2bb0eb73ca129:0x7b6c5ad343874ee8?sa=X&amp;ved=1t:57443&amp;ictx=111</t>
        </is>
      </c>
      <c r="K19" s="1" t="inlineStr">
        <is>
          <t>Directions</t>
        </is>
      </c>
    </row>
    <row r="20" ht="15.75" customHeight="1" s="48">
      <c r="A20" s="1" t="inlineStr">
        <is>
          <t>Lane's Air Conditioning &amp; Heating, Inc.</t>
        </is>
      </c>
      <c r="B20" s="1" t="inlineStr">
        <is>
          <t>· HVAC contractor</t>
        </is>
      </c>
      <c r="C20" s="1" t="inlineStr">
        <is>
          <t>4,8</t>
        </is>
      </c>
      <c r="D20" s="1" t="n">
        <v>-20</v>
      </c>
      <c r="E20" s="1" t="inlineStr">
        <is>
          <t>35+ years in business</t>
        </is>
      </c>
      <c r="F20" s="1" t="inlineStr">
        <is>
          <t>· +1 626-303-4168</t>
        </is>
      </c>
      <c r="G20" s="1" t="inlineStr">
        <is>
          <t>· Closes 4:30 pm</t>
        </is>
      </c>
      <c r="H20" s="1" t="inlineStr">
        <is>
          <t>Open</t>
        </is>
      </c>
      <c r="I20" s="1" t="inlineStr">
        <is>
          <t>"Always giving me great  at a fair price."</t>
        </is>
      </c>
      <c r="L20" s="2" t="inlineStr">
        <is>
          <t>http://lanesair.com/</t>
        </is>
      </c>
      <c r="M20" s="1" t="inlineStr">
        <is>
          <t>Website</t>
        </is>
      </c>
      <c r="N20" s="1" t="inlineStr">
        <is>
          <t>service</t>
        </is>
      </c>
    </row>
    <row r="21" ht="15.75" customHeight="1" s="48">
      <c r="A21" s="1" t="inlineStr">
        <is>
          <t>Bryant Heating &amp; Air Conditioning</t>
        </is>
      </c>
      <c r="B21" s="1" t="inlineStr">
        <is>
          <t>· HVAC contractor</t>
        </is>
      </c>
      <c r="C21" s="1" t="inlineStr">
        <is>
          <t>4,7</t>
        </is>
      </c>
      <c r="D21" s="1" t="n">
        <v>-191</v>
      </c>
      <c r="E21" s="1" t="inlineStr">
        <is>
          <t>10+ years in business · Pasadena, CA, United States</t>
        </is>
      </c>
      <c r="F21" s="1" t="inlineStr">
        <is>
          <t>· +1 626-995-1019</t>
        </is>
      </c>
      <c r="G21" s="1" t="inlineStr">
        <is>
          <t>· Closes 5 pm</t>
        </is>
      </c>
      <c r="H21" s="1" t="inlineStr">
        <is>
          <t>Open</t>
        </is>
      </c>
      <c r="I21" s="1" t="inlineStr">
        <is>
          <t>"They just replaced our  system and did a fantastic job."</t>
        </is>
      </c>
      <c r="J21" s="2" t="inlineStr">
        <is>
          <t>https://www.google.com/maps/dir//Bryant+Heating+%26+Air+Conditioning,+2075+E+Villa+St,+Pasadena,+CA+91107,+United+States/data=!4m6!4m5!1m1!4e2!1m2!1m1!1s0x80c2dae4a2ec195f:0x3598eedaf8bf19fd?sa=X&amp;ved=1t:57443&amp;ictx=111</t>
        </is>
      </c>
      <c r="K21" s="1" t="inlineStr">
        <is>
          <t>Directions</t>
        </is>
      </c>
      <c r="L21" s="2" t="inlineStr">
        <is>
          <t>https://www.bryantheatandair.com/?utm_source=google&amp;utm_medium=organic&amp;utm_campaign=GMBListing-Pasadena-CA</t>
        </is>
      </c>
      <c r="M21" s="1" t="inlineStr">
        <is>
          <t>Website</t>
        </is>
      </c>
      <c r="N21" s="1" t="inlineStr">
        <is>
          <t>HVAC</t>
        </is>
      </c>
    </row>
    <row r="22" ht="15.75" customHeight="1" s="48">
      <c r="A22" s="1" t="inlineStr">
        <is>
          <t>OSrXXb</t>
        </is>
      </c>
      <c r="B22" s="1" t="inlineStr">
        <is>
          <t>rllt__details</t>
        </is>
      </c>
      <c r="C22" s="1" t="inlineStr">
        <is>
          <t>yi40Hd</t>
        </is>
      </c>
      <c r="D22" s="1" t="inlineStr">
        <is>
          <t>RDApEe</t>
        </is>
      </c>
      <c r="E22" s="1" t="inlineStr">
        <is>
          <t>rllt__details 2</t>
        </is>
      </c>
      <c r="F22" s="1" t="inlineStr">
        <is>
          <t>rllt__details 3</t>
        </is>
      </c>
      <c r="G22" s="1" t="inlineStr">
        <is>
          <t>rllt__details 4</t>
        </is>
      </c>
      <c r="H22" s="1" t="inlineStr">
        <is>
          <t>uDyWh</t>
        </is>
      </c>
      <c r="I22" s="1" t="inlineStr">
        <is>
          <t>yYlJEf href</t>
        </is>
      </c>
      <c r="J22" s="1" t="inlineStr">
        <is>
          <t>QuU3Wb</t>
        </is>
      </c>
      <c r="K22" s="1" t="inlineStr">
        <is>
          <t>rllt__details 5</t>
        </is>
      </c>
      <c r="L22" s="1" t="inlineStr">
        <is>
          <t>uDyWh 2</t>
        </is>
      </c>
      <c r="M22" s="1" t="inlineStr">
        <is>
          <t>yYlJEf href 2</t>
        </is>
      </c>
      <c r="N22" s="1" t="inlineStr">
        <is>
          <t>QuU3Wb 2</t>
        </is>
      </c>
    </row>
    <row r="23" ht="15.75" customHeight="1" s="48">
      <c r="A23" s="1" t="inlineStr">
        <is>
          <t>T &amp; C HVAC</t>
        </is>
      </c>
      <c r="B23" s="1" t="inlineStr">
        <is>
          <t>· Air conditioning contractor</t>
        </is>
      </c>
      <c r="C23" s="1" t="inlineStr">
        <is>
          <t>5,0</t>
        </is>
      </c>
      <c r="D23" s="1" t="n">
        <v>-32</v>
      </c>
      <c r="E23" s="1" t="inlineStr">
        <is>
          <t>5+ years in business</t>
        </is>
      </c>
      <c r="F23" s="1" t="inlineStr">
        <is>
          <t>· +1 626-244-2016</t>
        </is>
      </c>
      <c r="G23" s="1" t="inlineStr">
        <is>
          <t>Open 24 hours</t>
        </is>
      </c>
      <c r="H23" s="1" t="inlineStr">
        <is>
          <t>"I would really recommend this company to my friends &amp; neighbors."</t>
        </is>
      </c>
      <c r="I23" s="2" t="inlineStr">
        <is>
          <t>https://www.sierramadrehvacservices.com/</t>
        </is>
      </c>
      <c r="J23" s="1" t="inlineStr">
        <is>
          <t>Website</t>
        </is>
      </c>
    </row>
    <row r="24" ht="15.75" customHeight="1" s="48">
      <c r="A24" s="1" t="inlineStr">
        <is>
          <t>Ability Air Conditioning &amp; Heating Monrovia CA</t>
        </is>
      </c>
      <c r="B24" s="1" t="inlineStr">
        <is>
          <t>· HVAC contractor</t>
        </is>
      </c>
      <c r="C24" s="1" t="inlineStr">
        <is>
          <t>5,0</t>
        </is>
      </c>
      <c r="D24" s="1" t="n">
        <v>-9</v>
      </c>
      <c r="E24" s="1" t="inlineStr">
        <is>
          <t>· +1 626-213-1822</t>
        </is>
      </c>
      <c r="F24" s="1" t="inlineStr">
        <is>
          <t>Open 24 hours</t>
        </is>
      </c>
    </row>
    <row r="25" ht="15.75" customHeight="1" s="48">
      <c r="A25" s="1" t="inlineStr">
        <is>
          <t>Ace Status Heating and Air Conditioning LLC</t>
        </is>
      </c>
      <c r="B25" s="1" t="inlineStr">
        <is>
          <t>· Air conditioning contractor</t>
        </is>
      </c>
      <c r="C25" s="1" t="inlineStr">
        <is>
          <t>5,0</t>
        </is>
      </c>
      <c r="D25" s="1" t="n">
        <v>-1</v>
      </c>
      <c r="E25" s="1" t="inlineStr">
        <is>
          <t>Monrovia, CA, United States</t>
        </is>
      </c>
      <c r="F25" s="1" t="inlineStr">
        <is>
          <t>Open 24 hours</t>
        </is>
      </c>
      <c r="G25" s="1" t="inlineStr">
        <is>
          <t>· +1 626-754-7484</t>
        </is>
      </c>
      <c r="I25" s="2" t="inlineStr">
        <is>
          <t>https://www.google.com/maps/dir//Ace+Status+Heating+and+Air+Conditioning+LLC,+203+E+Olive+Ave+apt+2,+Monrovia,+CA+91016,+United+States/data=!4m6!4m5!1m1!4e2!1m2!1m1!1s0x80c2d99f063a3b37:0x2ed909be6ac3ad4d?sa=X&amp;ved=1t:57443&amp;ictx=111</t>
        </is>
      </c>
      <c r="J25" s="1" t="inlineStr">
        <is>
          <t>Directions</t>
        </is>
      </c>
    </row>
    <row r="26" ht="15.75" customHeight="1" s="48">
      <c r="A26" s="1" t="inlineStr">
        <is>
          <t>Johnny's Air Conditioning</t>
        </is>
      </c>
      <c r="B26" s="1" t="inlineStr">
        <is>
          <t>· HVAC contractor</t>
        </is>
      </c>
      <c r="C26" s="1" t="inlineStr">
        <is>
          <t>4,9</t>
        </is>
      </c>
      <c r="D26" s="1" t="n">
        <v>-34</v>
      </c>
      <c r="E26" s="1" t="inlineStr">
        <is>
          <t>35+ years in business · Pasadena, CA, United States</t>
        </is>
      </c>
      <c r="F26" s="1" t="inlineStr">
        <is>
          <t>Open</t>
        </is>
      </c>
      <c r="G26" s="1" t="inlineStr">
        <is>
          <t>· +1 626-794-1187</t>
        </is>
      </c>
      <c r="H26" s="1" t="inlineStr">
        <is>
          <t>"The price, installation team and  were outstanding."</t>
        </is>
      </c>
      <c r="I26" s="2" t="inlineStr">
        <is>
          <t>https://www.google.com/maps/dir//Johnny's+Air+Conditioning,+2380+Corson+St,+Pasadena,+CA+91107,+United+States/data=!4m6!4m5!1m1!4e2!1m2!1m1!1s0x80c2dcaf773d2eef:0xef618356fab2f027?sa=X&amp;ved=1t:57443&amp;ictx=111</t>
        </is>
      </c>
      <c r="J26" s="1" t="inlineStr">
        <is>
          <t>Directions</t>
        </is>
      </c>
      <c r="K26" s="1" t="inlineStr">
        <is>
          <t>· Closes 4:30 pm</t>
        </is>
      </c>
      <c r="L26" s="1" t="inlineStr">
        <is>
          <t>service</t>
        </is>
      </c>
      <c r="M26" s="2" t="inlineStr">
        <is>
          <t>https://johnnysac.com/</t>
        </is>
      </c>
      <c r="N26" s="1" t="inlineStr">
        <is>
          <t>Website</t>
        </is>
      </c>
    </row>
    <row r="27" ht="15.75" customHeight="1" s="48">
      <c r="A27" s="1" t="inlineStr">
        <is>
          <t>Connor Air Conditioning &amp; Heating</t>
        </is>
      </c>
      <c r="B27" s="1" t="inlineStr">
        <is>
          <t>· HVAC contractor</t>
        </is>
      </c>
      <c r="C27" s="1" t="inlineStr">
        <is>
          <t>4,7</t>
        </is>
      </c>
      <c r="D27" s="1" t="n">
        <v>-53</v>
      </c>
      <c r="E27" s="1" t="inlineStr">
        <is>
          <t>50+ years in business · Temple City, CA, United States</t>
        </is>
      </c>
      <c r="F27" s="1" t="inlineStr">
        <is>
          <t>Open</t>
        </is>
      </c>
      <c r="G27" s="1" t="inlineStr">
        <is>
          <t>· +1 626-286-3157</t>
        </is>
      </c>
      <c r="H27" s="1" t="inlineStr">
        <is>
          <t>"Conner  came through like a champ."</t>
        </is>
      </c>
      <c r="I27" s="2" t="inlineStr">
        <is>
          <t>https://www.google.com/maps/dir//Connor+Air+Conditioning+%26+Heating,+4931+Encinita+Ave,+Temple+City,+CA+91780,+United+States/data=!4m6!4m5!1m1!4e2!1m2!1m1!1s0x80c2da8ad5b14bc3:0x3f239d4f150cac?sa=X&amp;ved=1t:57443&amp;ictx=111</t>
        </is>
      </c>
      <c r="J27" s="1" t="inlineStr">
        <is>
          <t>Directions</t>
        </is>
      </c>
      <c r="K27" s="1" t="inlineStr">
        <is>
          <t>· Closes 4:30 pm</t>
        </is>
      </c>
      <c r="L27" s="1" t="inlineStr">
        <is>
          <t>AC</t>
        </is>
      </c>
      <c r="M27" s="2" t="inlineStr">
        <is>
          <t>https://connorair.com/</t>
        </is>
      </c>
      <c r="N27" s="1" t="inlineStr">
        <is>
          <t>Website</t>
        </is>
      </c>
    </row>
    <row r="28" ht="15.75" customHeight="1" s="48">
      <c r="A28" s="1" t="inlineStr">
        <is>
          <t>Heating &amp; Cooling</t>
        </is>
      </c>
      <c r="B28" s="1" t="inlineStr">
        <is>
          <t>· Air conditioning contractor</t>
        </is>
      </c>
      <c r="C28" s="1" t="inlineStr">
        <is>
          <t>5,0</t>
        </is>
      </c>
      <c r="D28" s="1" t="n">
        <v>-6</v>
      </c>
      <c r="E28" s="1" t="inlineStr">
        <is>
          <t>10+ years in business · Arcadia, CA, United States</t>
        </is>
      </c>
      <c r="F28" s="1" t="inlineStr">
        <is>
          <t>Open</t>
        </is>
      </c>
      <c r="G28" s="1" t="inlineStr">
        <is>
          <t>· +1 626-681-1152</t>
        </is>
      </c>
      <c r="I28" s="2" t="inlineStr">
        <is>
          <t>https://www.google.com/maps/dir//Heating+%26+Cooling,+320+E+Huntington+Dr,+Arcadia,+CA+91006,+United+States/data=!4m6!4m5!1m1!4e2!1m2!1m1!1s0x80c2da2a986676b9:0xed7b85e10dfd92b6?sa=X&amp;ved=1t:57443&amp;ictx=111</t>
        </is>
      </c>
      <c r="J28" s="1" t="inlineStr">
        <is>
          <t>Directions</t>
        </is>
      </c>
      <c r="K28" s="1" t="inlineStr">
        <is>
          <t>· Closes 8 pm</t>
        </is>
      </c>
    </row>
    <row r="29" ht="15.75" customHeight="1" s="48">
      <c r="A29" s="1" t="inlineStr">
        <is>
          <t>Manny's Heating &amp; Air Conditioning</t>
        </is>
      </c>
      <c r="B29" s="1" t="inlineStr">
        <is>
          <t>· HVAC contractor</t>
        </is>
      </c>
      <c r="C29" s="1" t="inlineStr">
        <is>
          <t>4,9</t>
        </is>
      </c>
      <c r="D29" s="1" t="n">
        <v>-183</v>
      </c>
      <c r="E29" s="1" t="inlineStr">
        <is>
          <t>15+ years in business · Huntington Park, CA, United States</t>
        </is>
      </c>
      <c r="F29" s="1" t="inlineStr">
        <is>
          <t>Open 24 hours</t>
        </is>
      </c>
      <c r="G29" s="1" t="inlineStr">
        <is>
          <t>· +1 323-774-4032</t>
        </is>
      </c>
      <c r="H29" s="1" t="inlineStr">
        <is>
          <t>"Jesus came by and had the  fixed in about an hour!"</t>
        </is>
      </c>
      <c r="I29" s="2" t="inlineStr">
        <is>
          <t>https://www.google.com/maps/dir//Manny's+Heating+%26+Air+Conditioning,+2761+E+Slauson+Ave,+Huntington+Park,+CA+90255,+United+States/data=!4m6!4m5!1m1!4e2!1m2!1m1!1s0x80c2c9c9c313ca95:0xa77691b2b5016954?sa=X&amp;ved=1t:57443&amp;ictx=111</t>
        </is>
      </c>
      <c r="J29" s="1" t="inlineStr">
        <is>
          <t>Directions</t>
        </is>
      </c>
      <c r="L29" s="1" t="inlineStr">
        <is>
          <t>AC</t>
        </is>
      </c>
      <c r="M29" s="2" t="inlineStr">
        <is>
          <t>http://mannyshvac.com/</t>
        </is>
      </c>
      <c r="N29" s="1" t="inlineStr">
        <is>
          <t>Website</t>
        </is>
      </c>
    </row>
    <row r="30" ht="15.75" customHeight="1" s="48">
      <c r="A30" s="1" t="inlineStr">
        <is>
          <t>A1 Heating Repair</t>
        </is>
      </c>
      <c r="B30" s="1" t="inlineStr">
        <is>
          <t>· Air conditioning repair service</t>
        </is>
      </c>
      <c r="C30" s="1" t="inlineStr">
        <is>
          <t>5,0</t>
        </is>
      </c>
      <c r="D30" s="1" t="n">
        <v>-6</v>
      </c>
      <c r="E30" s="1" t="inlineStr">
        <is>
          <t>35+ years in business</t>
        </is>
      </c>
      <c r="F30" s="1" t="inlineStr">
        <is>
          <t>Open</t>
        </is>
      </c>
      <c r="G30" s="1" t="inlineStr">
        <is>
          <t>· +1 626-737-8517</t>
        </is>
      </c>
      <c r="H30" s="1" t="inlineStr">
        <is>
          <t>"They were extremely professional and timely in their ."</t>
        </is>
      </c>
      <c r="K30" s="1" t="inlineStr">
        <is>
          <t>· Closes 3 pm</t>
        </is>
      </c>
      <c r="L30" s="1" t="inlineStr">
        <is>
          <t>service</t>
        </is>
      </c>
    </row>
    <row r="31" ht="15.75" customHeight="1" s="48">
      <c r="A31" s="1" t="inlineStr">
        <is>
          <t>Arcadia Chimney sweep &amp; Air Duct Cleaning Service</t>
        </is>
      </c>
      <c r="B31" s="1" t="inlineStr">
        <is>
          <t>· Air duct cleaning service</t>
        </is>
      </c>
      <c r="C31" s="1" t="inlineStr">
        <is>
          <t>4,9</t>
        </is>
      </c>
      <c r="D31" s="1" t="n">
        <v>-77</v>
      </c>
      <c r="E31" s="1" t="inlineStr">
        <is>
          <t>15+ years in business · Arcadia, CA, United States</t>
        </is>
      </c>
      <c r="F31" s="1" t="inlineStr">
        <is>
          <t>Open</t>
        </is>
      </c>
      <c r="G31" s="1" t="inlineStr">
        <is>
          <t>· +1 626-631-2165</t>
        </is>
      </c>
      <c r="H31" s="1" t="inlineStr">
        <is>
          <t>"Their prices were reasonable and the work was very efficient."</t>
        </is>
      </c>
      <c r="I31" s="2" t="inlineStr">
        <is>
          <t>https://www.google.com/maps/dir//Arcadia+Chimney+sweep+%26+Air+Duct+Cleaning+Service,+1031+Holly+Ave,+Arcadia,+CA+91007,+United+States/data=!4m6!4m5!1m1!4e2!1m2!1m1!1s0x80c2db6d2d902c59:0x3b70bf87ad9d4b38?sa=X&amp;ved=1t:57443&amp;ictx=111</t>
        </is>
      </c>
      <c r="J31" s="1" t="inlineStr">
        <is>
          <t>Directions</t>
        </is>
      </c>
      <c r="K31" s="1" t="inlineStr">
        <is>
          <t>· Closes 5 pm</t>
        </is>
      </c>
      <c r="M31" s="2" t="inlineStr">
        <is>
          <t>https://arcadiachimneysweepandairductcleaningservice.us/</t>
        </is>
      </c>
      <c r="N31" s="1" t="inlineStr">
        <is>
          <t>Website</t>
        </is>
      </c>
    </row>
    <row r="32" ht="15.75" customHeight="1" s="48">
      <c r="A32" s="1" t="inlineStr">
        <is>
          <t>Multi Air Service LLC</t>
        </is>
      </c>
      <c r="B32" s="1" t="inlineStr">
        <is>
          <t>· Air conditioning contractor</t>
        </is>
      </c>
      <c r="C32" s="1" t="inlineStr">
        <is>
          <t>4,9</t>
        </is>
      </c>
      <c r="D32" s="1" t="n">
        <v>-27</v>
      </c>
      <c r="E32" s="1" t="inlineStr">
        <is>
          <t>10+ years in business · Pasadena, CA, United States</t>
        </is>
      </c>
      <c r="F32" s="1" t="inlineStr">
        <is>
          <t>Open</t>
        </is>
      </c>
      <c r="G32" s="1" t="inlineStr">
        <is>
          <t>· +1 626-463-8130</t>
        </is>
      </c>
      <c r="H32" s="1" t="inlineStr">
        <is>
          <t>"He is knowledgeable, reliable, communicative, and he gets the job done."</t>
        </is>
      </c>
      <c r="I32" s="2" t="inlineStr">
        <is>
          <t>https://www.google.com/maps/dir//Multi+Air+Service+LLC,+470+Avocado+Ave,+Pasadena,+CA+91107,+United+States/data=!4m6!4m5!1m1!4e2!1m2!1m1!1s0x80c2c3d48c437ebd:0xadbe8e8c6d3ce641?sa=X&amp;ved=1t:57443&amp;ictx=111</t>
        </is>
      </c>
      <c r="J32" s="1" t="inlineStr">
        <is>
          <t>Directions</t>
        </is>
      </c>
      <c r="K32" s="1" t="inlineStr">
        <is>
          <t>· Closes 5:30 pm</t>
        </is>
      </c>
      <c r="M32" s="2" t="inlineStr">
        <is>
          <t>http://www.multiairservice.com/</t>
        </is>
      </c>
      <c r="N32" s="1" t="inlineStr">
        <is>
          <t>Website</t>
        </is>
      </c>
    </row>
    <row r="33" ht="15.75" customHeight="1" s="48">
      <c r="A33" s="1" t="inlineStr">
        <is>
          <t>Temp Kings Air</t>
        </is>
      </c>
      <c r="B33" s="1" t="inlineStr">
        <is>
          <t>· HVAC contractor</t>
        </is>
      </c>
      <c r="C33" s="1" t="inlineStr">
        <is>
          <t>5,0</t>
        </is>
      </c>
      <c r="D33" s="1" t="n">
        <v>-52</v>
      </c>
      <c r="E33" s="1" t="inlineStr">
        <is>
          <t>Pasadena, CA, United States</t>
        </is>
      </c>
      <c r="F33" s="1" t="inlineStr">
        <is>
          <t>Open</t>
        </is>
      </c>
      <c r="G33" s="1" t="inlineStr">
        <is>
          <t>· +1 626-400-5300</t>
        </is>
      </c>
      <c r="H33" s="1" t="inlineStr">
        <is>
          <t>"We them out to fix my , showed up on time and did a great job."</t>
        </is>
      </c>
      <c r="I33" s="2" t="inlineStr">
        <is>
          <t>https://www.google.com/maps/dir//Temp+Kings+Air,+145+N+Sierra+Madre+Blvd,+Pasadena,+CA+91107,+United+States/data=!4m6!4m5!1m1!4e2!1m2!1m1!1s0x80c2dde0acc1b20d:0xd041e53506e1cfcd?sa=X&amp;ved=1t:57443&amp;ictx=111</t>
        </is>
      </c>
      <c r="J33" s="1" t="inlineStr">
        <is>
          <t>Directions</t>
        </is>
      </c>
      <c r="K33" s="1" t="inlineStr">
        <is>
          <t>· Closes 6 pm</t>
        </is>
      </c>
      <c r="L33" s="1" t="inlineStr">
        <is>
          <t>AC</t>
        </is>
      </c>
      <c r="M33" s="2" t="inlineStr">
        <is>
          <t>https://tempkingsair.com/</t>
        </is>
      </c>
      <c r="N33" s="1" t="inlineStr">
        <is>
          <t>Website</t>
        </is>
      </c>
    </row>
    <row r="34" ht="15.75" customHeight="1" s="48">
      <c r="A34" s="1" t="inlineStr">
        <is>
          <t>Precise Air Systems Inc.</t>
        </is>
      </c>
      <c r="B34" s="1" t="inlineStr">
        <is>
          <t>· HVAC contractor</t>
        </is>
      </c>
      <c r="C34" s="1" t="inlineStr">
        <is>
          <t>4,9</t>
        </is>
      </c>
      <c r="D34" s="1" t="n">
        <v>-434</v>
      </c>
      <c r="E34" s="1" t="inlineStr">
        <is>
          <t>50+ years in business · Los Angeles, CA, United States</t>
        </is>
      </c>
      <c r="F34" s="1" t="inlineStr">
        <is>
          <t>Open 24 hours</t>
        </is>
      </c>
      <c r="G34" s="1" t="inlineStr">
        <is>
          <t>· +1 818-240-1737</t>
        </is>
      </c>
      <c r="H34" s="1" t="inlineStr">
        <is>
          <t>"The work was done quickly and my A/C is running perfectly now."</t>
        </is>
      </c>
      <c r="I34" s="2" t="inlineStr">
        <is>
          <t>https://www.google.com/maps/dir//Precise+Air+Systems+Inc.,+5467+W+San+Fernando+Rd,+Los+Angeles,+CA+90039,+United+States/data=!4m6!4m5!1m1!4e2!1m2!1m1!1s0x80c2c042a9162715:0x1b84caeb9a6d7d97?sa=X&amp;ved=1t:57443&amp;ictx=111</t>
        </is>
      </c>
      <c r="J34" s="1" t="inlineStr">
        <is>
          <t>Directions</t>
        </is>
      </c>
      <c r="M34" s="2" t="inlineStr">
        <is>
          <t>https://www.preciseairsystems.com/?utm_source=google&amp;utm_medium=organic&amp;utm_campaign=gbp</t>
        </is>
      </c>
      <c r="N34" s="1" t="inlineStr">
        <is>
          <t>Website</t>
        </is>
      </c>
    </row>
    <row r="35" ht="15.75" customHeight="1" s="48">
      <c r="A35" s="1" t="inlineStr">
        <is>
          <t>Five Star Heating &amp; Air</t>
        </is>
      </c>
      <c r="B35" s="1" t="inlineStr">
        <is>
          <t>· HVAC contractor</t>
        </is>
      </c>
      <c r="C35" s="1" t="inlineStr">
        <is>
          <t>5,0</t>
        </is>
      </c>
      <c r="D35" s="1" t="n">
        <v>-1</v>
      </c>
      <c r="E35" s="1" t="inlineStr">
        <is>
          <t>5+ years in business · Arcadia, CA, United States</t>
        </is>
      </c>
      <c r="F35" s="1" t="inlineStr">
        <is>
          <t>Open 24 hours</t>
        </is>
      </c>
      <c r="G35" s="1" t="inlineStr">
        <is>
          <t>· +1 818-625-4400</t>
        </is>
      </c>
      <c r="H35" s="1" t="inlineStr">
        <is>
          <t>"Next time I am going to call him without a doubt."</t>
        </is>
      </c>
      <c r="I35" s="2" t="inlineStr">
        <is>
          <t>https://www.google.com/maps/dir//Five+Star+Heating+%26+Air,+1008+Arcadia+Ave+UNIT+A,+Arcadia,+CA+91007,+United+States/data=!4m6!4m5!1m1!4e2!1m2!1m1!1s0x80c2dbb0536a71ed:0x64d9462580dfaca0?sa=X&amp;ved=1t:57443&amp;ictx=111</t>
        </is>
      </c>
      <c r="J35" s="1" t="inlineStr">
        <is>
          <t>Directions</t>
        </is>
      </c>
    </row>
    <row r="36" ht="15.75" customHeight="1" s="48">
      <c r="A36" s="1" t="inlineStr">
        <is>
          <t>Piggies Air Conditioning</t>
        </is>
      </c>
      <c r="B36" s="1" t="inlineStr">
        <is>
          <t>· HVAC contractor</t>
        </is>
      </c>
      <c r="C36" s="1" t="inlineStr">
        <is>
          <t>4,8</t>
        </is>
      </c>
      <c r="D36" s="1" t="n">
        <v>-37</v>
      </c>
      <c r="E36" s="1" t="inlineStr">
        <is>
          <t>5+ years in business · Baldwin Park, CA, United States</t>
        </is>
      </c>
      <c r="F36" s="1" t="inlineStr">
        <is>
          <t>Open 24 hours</t>
        </is>
      </c>
      <c r="G36" s="1" t="inlineStr">
        <is>
          <t>· +1 626-676-2592</t>
        </is>
      </c>
      <c r="H36" s="1" t="inlineStr">
        <is>
          <t>"They arrived on short notice and fixed the problem quickly."</t>
        </is>
      </c>
      <c r="I36" s="2" t="inlineStr">
        <is>
          <t>https://www.google.com/maps/dir//Piggies+Air+Conditioning,+14510+Baldwin+Park+Towne+Center+Ste+A1,+Baldwin+Park,+CA+91706,+United+States/data=!4m6!4m5!1m1!4e2!1m2!1m1!1s0x80c329c59ba71f57:0x52d302032af29064?sa=X&amp;ved=1t:57443&amp;ictx=111</t>
        </is>
      </c>
      <c r="J36" s="1" t="inlineStr">
        <is>
          <t>Directions</t>
        </is>
      </c>
      <c r="M36" s="2" t="inlineStr">
        <is>
          <t>https://www.piggiesairconditioning.com/?utm_source=google&amp;utm_medium=organic&amp;utm_campaign=gbp</t>
        </is>
      </c>
      <c r="N36" s="1" t="inlineStr">
        <is>
          <t>Website</t>
        </is>
      </c>
    </row>
    <row r="37" ht="15.75" customHeight="1" s="48">
      <c r="A37" s="1" t="inlineStr">
        <is>
          <t>Evergreen Air Conditioning Repair Service Monrovia LLC</t>
        </is>
      </c>
      <c r="B37" s="1" t="inlineStr">
        <is>
          <t>· Air conditioning contractor</t>
        </is>
      </c>
      <c r="C37" s="1" t="inlineStr">
        <is>
          <t>5,0</t>
        </is>
      </c>
      <c r="D37" s="1" t="n">
        <v>-4</v>
      </c>
      <c r="E37" s="1" t="inlineStr">
        <is>
          <t>Monrovia, CA, United States</t>
        </is>
      </c>
      <c r="F37" s="1" t="inlineStr">
        <is>
          <t>Open</t>
        </is>
      </c>
      <c r="G37" s="1" t="inlineStr">
        <is>
          <t>· +1 951-356-3594</t>
        </is>
      </c>
      <c r="H37" s="1" t="inlineStr">
        <is>
          <t>"Eric was fantastic!"</t>
        </is>
      </c>
      <c r="I37" s="2" t="inlineStr">
        <is>
          <t>https://www.google.com/maps/dir//Evergreen+Air+Conditioning+Repair+Service+Monrovia+LLC,+203+E+Olive+Ave+apt+2,+Monrovia,+CA+91016,+United+States/data=!4m6!4m5!1m1!4e2!1m2!1m1!1s0x80c2d9bc0c504bdb:0x7a8bfbc66a5c595d?sa=X&amp;ved=1t:57443&amp;ictx=111</t>
        </is>
      </c>
      <c r="J37" s="1" t="inlineStr">
        <is>
          <t>Directions</t>
        </is>
      </c>
      <c r="K37" s="1" t="inlineStr">
        <is>
          <t>· Closes 5 pm</t>
        </is>
      </c>
    </row>
    <row r="38" ht="15.75" customHeight="1" s="48">
      <c r="A38" s="1" t="inlineStr">
        <is>
          <t>Iwai Cooling &amp; Heating</t>
        </is>
      </c>
      <c r="B38" s="1" t="inlineStr">
        <is>
          <t>· HVAC contractor</t>
        </is>
      </c>
      <c r="C38" s="1" t="inlineStr">
        <is>
          <t>5,0</t>
        </is>
      </c>
      <c r="D38" s="1" t="n">
        <v>-9</v>
      </c>
      <c r="E38" s="1" t="inlineStr">
        <is>
          <t>25+ years in business · Monrovia, CA, United States</t>
        </is>
      </c>
      <c r="F38" s="1" t="inlineStr">
        <is>
          <t>Open</t>
        </is>
      </c>
      <c r="G38" s="1" t="inlineStr">
        <is>
          <t>· +1 626-932-1163</t>
        </is>
      </c>
      <c r="H38" s="1" t="inlineStr">
        <is>
          <t>"... team is skilled, responsive, and always delivers top-quality ."</t>
        </is>
      </c>
      <c r="I38" s="2" t="inlineStr">
        <is>
          <t>https://www.google.com/maps/dir//Iwai+Cooling+%26+Heating,+848+S+Myrtle+Ave+%232,+Monrovia,+CA+91016,+United+States/data=!4m6!4m5!1m1!4e2!1m2!1m1!1s0x80c2d96c1cd01cbd:0x178d41f51a9ad699?sa=X&amp;ved=1t:57443&amp;ictx=111</t>
        </is>
      </c>
      <c r="J38" s="1" t="inlineStr">
        <is>
          <t>Directions</t>
        </is>
      </c>
      <c r="K38" s="1" t="inlineStr">
        <is>
          <t>· Closes 5 pm</t>
        </is>
      </c>
      <c r="L38" s="1" t="inlineStr">
        <is>
          <t>service</t>
        </is>
      </c>
      <c r="M38" s="2" t="inlineStr">
        <is>
          <t>http://iwaicoolingheating.com/</t>
        </is>
      </c>
      <c r="N38" s="1" t="inlineStr">
        <is>
          <t>Website</t>
        </is>
      </c>
    </row>
    <row r="39" ht="15.75" customHeight="1" s="48">
      <c r="A39" s="1" t="inlineStr">
        <is>
          <t>Access Heating &amp; Air Conditioning, Inc.</t>
        </is>
      </c>
      <c r="B39" s="1" t="inlineStr">
        <is>
          <t>· Air conditioning contractor</t>
        </is>
      </c>
      <c r="C39" s="1" t="inlineStr">
        <is>
          <t>5,0</t>
        </is>
      </c>
      <c r="D39" s="1" t="n">
        <v>-21</v>
      </c>
      <c r="E39" s="1" t="inlineStr">
        <is>
          <t>10+ years in business · Pasadena, CA, United States</t>
        </is>
      </c>
      <c r="F39" s="1" t="inlineStr">
        <is>
          <t>Open</t>
        </is>
      </c>
      <c r="G39" s="1" t="inlineStr">
        <is>
          <t>· +1 626-405-1074</t>
        </is>
      </c>
      <c r="H39" s="1" t="inlineStr">
        <is>
          <t>" Tech did a wonderful job and took time and care with our property."</t>
        </is>
      </c>
      <c r="I39" s="2" t="inlineStr">
        <is>
          <t>https://www.google.com/maps/dir//Access+Heating+%26+Air+Conditioning,+Inc.,+3712+Blanche+St,+Pasadena,+CA+91107,+United+States/data=!4m6!4m5!1m1!4e2!1m2!1m1!1s0x80c2dadbcb19be61:0x16668ebc93ee30ec?sa=X&amp;ved=1t:57443&amp;ictx=111</t>
        </is>
      </c>
      <c r="J39" s="1" t="inlineStr">
        <is>
          <t>Directions</t>
        </is>
      </c>
      <c r="K39" s="1" t="inlineStr">
        <is>
          <t>· Closes 6 pm</t>
        </is>
      </c>
      <c r="L39" s="1" t="inlineStr">
        <is>
          <t>Air</t>
        </is>
      </c>
      <c r="M39" s="2" t="inlineStr">
        <is>
          <t>https://www.accessairnow.com/</t>
        </is>
      </c>
      <c r="N39" s="1" t="inlineStr">
        <is>
          <t>Website</t>
        </is>
      </c>
    </row>
    <row r="40" ht="15.75" customHeight="1" s="48">
      <c r="A40" s="1" t="inlineStr">
        <is>
          <t>Evergreen Air Conditioning Repair Services Monrovia</t>
        </is>
      </c>
      <c r="B40" s="1" t="inlineStr">
        <is>
          <t>· Air conditioning contractor</t>
        </is>
      </c>
      <c r="C40" s="1" t="inlineStr">
        <is>
          <t>5,0</t>
        </is>
      </c>
      <c r="D40" s="1" t="n">
        <v>-5</v>
      </c>
      <c r="E40" s="1" t="inlineStr">
        <is>
          <t>Monrovia, CA, United States</t>
        </is>
      </c>
      <c r="F40" s="1" t="inlineStr">
        <is>
          <t>Open 24 hours</t>
        </is>
      </c>
      <c r="G40" s="1" t="inlineStr">
        <is>
          <t>· +1 951-356-3594</t>
        </is>
      </c>
      <c r="I40" s="2" t="inlineStr">
        <is>
          <t>https://www.google.com/maps/dir//Evergreen+Air+Conditioning+Repair+Services+Monrovia,+310+S+Magnolia+Ave,+Monrovia,+CA+91016,+United+States/data=!4m6!4m5!1m1!4e2!1m2!1m1!1s0x80c2d980e3abe7e9:0x5e852ec43c2df639?sa=X&amp;ved=1t:57443&amp;ictx=111</t>
        </is>
      </c>
      <c r="J40" s="1" t="inlineStr">
        <is>
          <t>Directions</t>
        </is>
      </c>
    </row>
    <row r="41" ht="15.75" customHeight="1" s="48">
      <c r="A41" s="1" t="inlineStr">
        <is>
          <t>A &amp; L HVAC Sierra Madre</t>
        </is>
      </c>
      <c r="B41" s="1" t="inlineStr">
        <is>
          <t>· HVAC contractor</t>
        </is>
      </c>
      <c r="C41" s="1" t="inlineStr">
        <is>
          <t>4,3</t>
        </is>
      </c>
      <c r="D41" s="1" t="n">
        <v>-11</v>
      </c>
      <c r="E41" s="1" t="inlineStr">
        <is>
          <t>5+ years in business · Sierra Madre, CA, United States</t>
        </is>
      </c>
      <c r="F41" s="1" t="inlineStr">
        <is>
          <t>Open 24 hours</t>
        </is>
      </c>
      <c r="G41" s="1" t="inlineStr">
        <is>
          <t>· +1 626-244-2038</t>
        </is>
      </c>
      <c r="H41" s="1" t="inlineStr">
        <is>
          <t>"The technician was one of the nicest  people to ever enter my home."</t>
        </is>
      </c>
      <c r="I41" s="2" t="inlineStr">
        <is>
          <t>https://www.google.com/maps/dir//A+%26+L+HVAC+Sierra+Madre,+35+Montecito+Ct,+Sierra+Madre,+CA+91024,+United+States/data=!4m6!4m5!1m1!4e2!1m2!1m1!1s0x808529b72d6f04b7:0x7166fc131dfaf853?sa=X&amp;ved=1t:57443&amp;ictx=111</t>
        </is>
      </c>
      <c r="J41" s="1" t="inlineStr">
        <is>
          <t>Directions</t>
        </is>
      </c>
      <c r="L41" s="1" t="inlineStr">
        <is>
          <t>service</t>
        </is>
      </c>
      <c r="M41" s="2" t="inlineStr">
        <is>
          <t>https://www.aandlhvacsierramadre.com/</t>
        </is>
      </c>
      <c r="N41" s="1" t="inlineStr">
        <is>
          <t>Website</t>
        </is>
      </c>
    </row>
    <row r="42" ht="15.75" customHeight="1" s="48">
      <c r="A42" s="1" t="inlineStr">
        <is>
          <t>Thermal Tech Heating and Air</t>
        </is>
      </c>
      <c r="B42" s="1" t="inlineStr">
        <is>
          <t>· HVAC contractor</t>
        </is>
      </c>
      <c r="C42" s="1" t="inlineStr">
        <is>
          <t>5,0</t>
        </is>
      </c>
      <c r="D42" s="1" t="n">
        <v>-6</v>
      </c>
      <c r="E42" s="1" t="inlineStr">
        <is>
          <t>· +1 626-807-0422</t>
        </is>
      </c>
      <c r="F42" s="1" t="inlineStr">
        <is>
          <t>Open</t>
        </is>
      </c>
      <c r="H42" s="1" t="inlineStr">
        <is>
          <t>"Fixed the problem and didn’t charge me an arm and leg."</t>
        </is>
      </c>
      <c r="K42" s="1" t="inlineStr">
        <is>
          <t>· Closes 5 pm</t>
        </is>
      </c>
      <c r="M42" s="2" t="inlineStr">
        <is>
          <t>http://thermaltech-hvac.com/</t>
        </is>
      </c>
      <c r="N42" s="1" t="inlineStr">
        <is>
          <t>Website</t>
        </is>
      </c>
    </row>
    <row r="43" ht="15.75" customHeight="1" s="48"/>
    <row r="44" ht="15.75" customHeight="1" s="48"/>
    <row r="45" ht="15.75" customHeight="1" s="48"/>
    <row r="46" ht="15.75" customHeight="1" s="48"/>
    <row r="47" ht="15.75" customHeight="1" s="48"/>
    <row r="48" ht="15.75" customHeight="1" s="48"/>
    <row r="49" ht="15.75" customHeight="1" s="48"/>
    <row r="50" ht="15.75" customHeight="1" s="48"/>
    <row r="51" ht="15.75" customHeight="1" s="48"/>
    <row r="52" ht="15.75" customHeight="1" s="48"/>
    <row r="53" ht="15.75" customHeight="1" s="48"/>
    <row r="54" ht="15.75" customHeight="1" s="48"/>
    <row r="55" ht="15.75" customHeight="1" s="48"/>
    <row r="56" ht="15.75" customHeight="1" s="48"/>
    <row r="57" ht="15.75" customHeight="1" s="48"/>
    <row r="58" ht="15.75" customHeight="1" s="48"/>
    <row r="59" ht="15.75" customHeight="1" s="48"/>
    <row r="60" ht="15.75" customHeight="1" s="48"/>
    <row r="61" ht="15.75" customHeight="1" s="48"/>
    <row r="62" ht="15.75" customHeight="1" s="48"/>
    <row r="63" ht="15.75" customHeight="1" s="48"/>
    <row r="64" ht="15.75" customHeight="1" s="48"/>
    <row r="65" ht="15.75" customHeight="1" s="48"/>
    <row r="66" ht="15.75" customHeight="1" s="48"/>
    <row r="67" ht="15.75" customHeight="1" s="48"/>
    <row r="68" ht="15.75" customHeight="1" s="48"/>
    <row r="69" ht="15.75" customHeight="1" s="48"/>
    <row r="70" ht="15.75" customHeight="1" s="48"/>
    <row r="71" ht="15.75" customHeight="1" s="48"/>
    <row r="72" ht="15.75" customHeight="1" s="48"/>
    <row r="73" ht="15.75" customHeight="1" s="48"/>
    <row r="74" ht="15.75" customHeight="1" s="48"/>
    <row r="75" ht="15.75" customHeight="1" s="48"/>
    <row r="76" ht="15.75" customHeight="1" s="48"/>
    <row r="77" ht="15.75" customHeight="1" s="48"/>
    <row r="78" ht="15.75" customHeight="1" s="48"/>
    <row r="79" ht="15.75" customHeight="1" s="48"/>
    <row r="80" ht="15.75" customHeight="1" s="48"/>
    <row r="81" ht="15.75" customHeight="1" s="48"/>
    <row r="82" ht="15.75" customHeight="1" s="48"/>
    <row r="83" ht="15.75" customHeight="1" s="48"/>
    <row r="84" ht="15.75" customHeight="1" s="48"/>
    <row r="85" ht="15.75" customHeight="1" s="48"/>
    <row r="86" ht="15.75" customHeight="1" s="48"/>
    <row r="87" ht="15.75" customHeight="1" s="48"/>
    <row r="88" ht="15.75" customHeight="1" s="48"/>
    <row r="89" ht="15.75" customHeight="1" s="48"/>
    <row r="90" ht="15.75" customHeight="1" s="48"/>
    <row r="91" ht="15.75" customHeight="1" s="48"/>
    <row r="92" ht="15.75" customHeight="1" s="48"/>
    <row r="93" ht="15.75" customHeight="1" s="48"/>
    <row r="94" ht="15.75" customHeight="1" s="48"/>
    <row r="95" ht="15.75" customHeight="1" s="48"/>
    <row r="96" ht="15.75" customHeight="1" s="48"/>
    <row r="97" ht="15.75" customHeight="1" s="48"/>
    <row r="98" ht="15.75" customHeight="1" s="48"/>
    <row r="99" ht="15.75" customHeight="1" s="48"/>
    <row r="100" ht="15.75" customHeight="1" s="48"/>
    <row r="101" ht="15.75" customHeight="1" s="48"/>
    <row r="102" ht="15.75" customHeight="1" s="48"/>
    <row r="103" ht="15.75" customHeight="1" s="48"/>
    <row r="104" ht="15.75" customHeight="1" s="48"/>
    <row r="105" ht="15.75" customHeight="1" s="48"/>
    <row r="106" ht="15.75" customHeight="1" s="48"/>
    <row r="107" ht="15.75" customHeight="1" s="48"/>
    <row r="108" ht="15.75" customHeight="1" s="48"/>
    <row r="109" ht="15.75" customHeight="1" s="48"/>
    <row r="110" ht="15.75" customHeight="1" s="48"/>
    <row r="111" ht="15.75" customHeight="1" s="48"/>
    <row r="112" ht="15.75" customHeight="1" s="48"/>
    <row r="113" ht="15.75" customHeight="1" s="48"/>
    <row r="114" ht="15.75" customHeight="1" s="48"/>
    <row r="115" ht="15.75" customHeight="1" s="48"/>
    <row r="116" ht="15.75" customHeight="1" s="48"/>
    <row r="117" ht="15.75" customHeight="1" s="48"/>
    <row r="118" ht="15.75" customHeight="1" s="48"/>
    <row r="119" ht="15.75" customHeight="1" s="48"/>
    <row r="120" ht="15.75" customHeight="1" s="48"/>
    <row r="121" ht="15.75" customHeight="1" s="48"/>
    <row r="122" ht="15.75" customHeight="1" s="48"/>
    <row r="123" ht="15.75" customHeight="1" s="48"/>
    <row r="124" ht="15.75" customHeight="1" s="48"/>
    <row r="125" ht="15.75" customHeight="1" s="48"/>
    <row r="126" ht="15.75" customHeight="1" s="48"/>
    <row r="127" ht="15.75" customHeight="1" s="48"/>
    <row r="128" ht="15.75" customHeight="1" s="48"/>
    <row r="129" ht="15.75" customHeight="1" s="48"/>
    <row r="130" ht="15.75" customHeight="1" s="48"/>
    <row r="131" ht="15.75" customHeight="1" s="48"/>
    <row r="132" ht="15.75" customHeight="1" s="48"/>
    <row r="133" ht="15.75" customHeight="1" s="48"/>
    <row r="134" ht="15.75" customHeight="1" s="48"/>
    <row r="135" ht="15.75" customHeight="1" s="48"/>
    <row r="136" ht="15.75" customHeight="1" s="48"/>
    <row r="137" ht="15.75" customHeight="1" s="48"/>
    <row r="138" ht="15.75" customHeight="1" s="48"/>
    <row r="139" ht="15.75" customHeight="1" s="48"/>
    <row r="140" ht="15.75" customHeight="1" s="48"/>
    <row r="141" ht="15.75" customHeight="1" s="48"/>
    <row r="142" ht="15.75" customHeight="1" s="48"/>
    <row r="143" ht="15.75" customHeight="1" s="48"/>
    <row r="144" ht="15.75" customHeight="1" s="48"/>
    <row r="145" ht="15.75" customHeight="1" s="48"/>
    <row r="146" ht="15.75" customHeight="1" s="48"/>
    <row r="147" ht="15.75" customHeight="1" s="48"/>
    <row r="148" ht="15.75" customHeight="1" s="48"/>
    <row r="149" ht="15.75" customHeight="1" s="48"/>
    <row r="150" ht="15.75" customHeight="1" s="48"/>
    <row r="151" ht="15.75" customHeight="1" s="48"/>
    <row r="152" ht="15.75" customHeight="1" s="48"/>
    <row r="153" ht="15.75" customHeight="1" s="48"/>
    <row r="154" ht="15.75" customHeight="1" s="48"/>
    <row r="155" ht="15.75" customHeight="1" s="48"/>
    <row r="156" ht="15.75" customHeight="1" s="48"/>
    <row r="157" ht="15.75" customHeight="1" s="48"/>
    <row r="158" ht="15.75" customHeight="1" s="48"/>
    <row r="159" ht="15.75" customHeight="1" s="48"/>
    <row r="160" ht="15.75" customHeight="1" s="48"/>
    <row r="161" ht="15.75" customHeight="1" s="48"/>
    <row r="162" ht="15.75" customHeight="1" s="48"/>
    <row r="163" ht="15.75" customHeight="1" s="48"/>
    <row r="164" ht="15.75" customHeight="1" s="48"/>
    <row r="165" ht="15.75" customHeight="1" s="48"/>
    <row r="166" ht="15.75" customHeight="1" s="48"/>
    <row r="167" ht="15.75" customHeight="1" s="48"/>
    <row r="168" ht="15.75" customHeight="1" s="48"/>
    <row r="169" ht="15.75" customHeight="1" s="48"/>
    <row r="170" ht="15.75" customHeight="1" s="48"/>
    <row r="171" ht="15.75" customHeight="1" s="48"/>
    <row r="172" ht="15.75" customHeight="1" s="48"/>
    <row r="173" ht="15.75" customHeight="1" s="48"/>
    <row r="174" ht="15.75" customHeight="1" s="48"/>
    <row r="175" ht="15.75" customHeight="1" s="48"/>
    <row r="176" ht="15.75" customHeight="1" s="48"/>
    <row r="177" ht="15.75" customHeight="1" s="48"/>
    <row r="178" ht="15.75" customHeight="1" s="48"/>
    <row r="179" ht="15.75" customHeight="1" s="48"/>
    <row r="180" ht="15.75" customHeight="1" s="48"/>
    <row r="181" ht="15.75" customHeight="1" s="48"/>
    <row r="182" ht="15.75" customHeight="1" s="48"/>
    <row r="183" ht="15.75" customHeight="1" s="48"/>
    <row r="184" ht="15.75" customHeight="1" s="48"/>
    <row r="185" ht="15.75" customHeight="1" s="48"/>
    <row r="186" ht="15.75" customHeight="1" s="48"/>
    <row r="187" ht="15.75" customHeight="1" s="48"/>
    <row r="188" ht="15.75" customHeight="1" s="48"/>
    <row r="189" ht="15.75" customHeight="1" s="48"/>
    <row r="190" ht="15.75" customHeight="1" s="48"/>
    <row r="191" ht="15.75" customHeight="1" s="48"/>
    <row r="192" ht="15.75" customHeight="1" s="48"/>
    <row r="193" ht="15.75" customHeight="1" s="48"/>
    <row r="194" ht="15.75" customHeight="1" s="48"/>
    <row r="195" ht="15.75" customHeight="1" s="48"/>
    <row r="196" ht="15.75" customHeight="1" s="48"/>
    <row r="197" ht="15.75" customHeight="1" s="48"/>
    <row r="198" ht="15.75" customHeight="1" s="48"/>
    <row r="199" ht="15.75" customHeight="1" s="48"/>
    <row r="200" ht="15.75" customHeight="1" s="48"/>
    <row r="201" ht="15.75" customHeight="1" s="48"/>
    <row r="202" ht="15.75" customHeight="1" s="48"/>
    <row r="203" ht="15.75" customHeight="1" s="48"/>
    <row r="204" ht="15.75" customHeight="1" s="48"/>
    <row r="205" ht="15.75" customHeight="1" s="48"/>
    <row r="206" ht="15.75" customHeight="1" s="48"/>
    <row r="207" ht="15.75" customHeight="1" s="48"/>
    <row r="208" ht="15.75" customHeight="1" s="48"/>
    <row r="209" ht="15.75" customHeight="1" s="48"/>
    <row r="210" ht="15.75" customHeight="1" s="48"/>
    <row r="211" ht="15.75" customHeight="1" s="48"/>
    <row r="212" ht="15.75" customHeight="1" s="48"/>
    <row r="213" ht="15.75" customHeight="1" s="48"/>
    <row r="214" ht="15.75" customHeight="1" s="48"/>
    <row r="215" ht="15.75" customHeight="1" s="48"/>
    <row r="216" ht="15.75" customHeight="1" s="48"/>
    <row r="217" ht="15.75" customHeight="1" s="48"/>
    <row r="218" ht="15.75" customHeight="1" s="48"/>
    <row r="219" ht="15.75" customHeight="1" s="48"/>
    <row r="220" ht="15.75" customHeight="1" s="48"/>
    <row r="221" ht="15.75" customHeight="1" s="48"/>
    <row r="222" ht="15.75" customHeight="1" s="48"/>
    <row r="223" ht="15.75" customHeight="1" s="48"/>
    <row r="224" ht="15.75" customHeight="1" s="48"/>
    <row r="225" ht="15.75" customHeight="1" s="48"/>
    <row r="226" ht="15.75" customHeight="1" s="48"/>
    <row r="227" ht="15.75" customHeight="1" s="48"/>
    <row r="228" ht="15.75" customHeight="1" s="48"/>
    <row r="229" ht="15.75" customHeight="1" s="48"/>
    <row r="230" ht="15.75" customHeight="1" s="48"/>
    <row r="231" ht="15.75" customHeight="1" s="48"/>
    <row r="232" ht="15.75" customHeight="1" s="48"/>
    <row r="233" ht="15.75" customHeight="1" s="48"/>
    <row r="234" ht="15.75" customHeight="1" s="48"/>
    <row r="235" ht="15.75" customHeight="1" s="48"/>
    <row r="236" ht="15.75" customHeight="1" s="48"/>
    <row r="237" ht="15.75" customHeight="1" s="48"/>
    <row r="238" ht="15.75" customHeight="1" s="48"/>
    <row r="239" ht="15.75" customHeight="1" s="48"/>
    <row r="240" ht="15.75" customHeight="1" s="48"/>
    <row r="241" ht="15.75" customHeight="1" s="48"/>
    <row r="242" ht="15.75" customHeight="1" s="48"/>
    <row r="243" ht="15.75" customHeight="1" s="48"/>
    <row r="244" ht="15.75" customHeight="1" s="48"/>
    <row r="245" ht="15.75" customHeight="1" s="48"/>
    <row r="246" ht="15.75" customHeight="1" s="48"/>
    <row r="247" ht="15.75" customHeight="1" s="48"/>
    <row r="248" ht="15.75" customHeight="1" s="48"/>
    <row r="249" ht="15.75" customHeight="1" s="48"/>
    <row r="250" ht="15.75" customHeight="1" s="48"/>
    <row r="251" ht="15.75" customHeight="1" s="48"/>
    <row r="252" ht="15.75" customHeight="1" s="48"/>
    <row r="253" ht="15.75" customHeight="1" s="48"/>
    <row r="254" ht="15.75" customHeight="1" s="48"/>
    <row r="255" ht="15.75" customHeight="1" s="48"/>
    <row r="256" ht="15.75" customHeight="1" s="48"/>
    <row r="257" ht="15.75" customHeight="1" s="48"/>
    <row r="258" ht="15.75" customHeight="1" s="48"/>
    <row r="259" ht="15.75" customHeight="1" s="48"/>
    <row r="260" ht="15.75" customHeight="1" s="48"/>
    <row r="261" ht="15.75" customHeight="1" s="48"/>
    <row r="262" ht="15.75" customHeight="1" s="48"/>
    <row r="263" ht="15.75" customHeight="1" s="48"/>
    <row r="264" ht="15.75" customHeight="1" s="48"/>
    <row r="265" ht="15.75" customHeight="1" s="48"/>
    <row r="266" ht="15.75" customHeight="1" s="48"/>
    <row r="267" ht="15.75" customHeight="1" s="48"/>
    <row r="268" ht="15.75" customHeight="1" s="48"/>
    <row r="269" ht="15.75" customHeight="1" s="48"/>
    <row r="270" ht="15.75" customHeight="1" s="48"/>
    <row r="271" ht="15.75" customHeight="1" s="48"/>
    <row r="272" ht="15.75" customHeight="1" s="48"/>
    <row r="273" ht="15.75" customHeight="1" s="48"/>
    <row r="274" ht="15.75" customHeight="1" s="48"/>
    <row r="275" ht="15.75" customHeight="1" s="48"/>
    <row r="276" ht="15.75" customHeight="1" s="48"/>
    <row r="277" ht="15.75" customHeight="1" s="48"/>
    <row r="278" ht="15.75" customHeight="1" s="48"/>
    <row r="279" ht="15.75" customHeight="1" s="48"/>
    <row r="280" ht="15.75" customHeight="1" s="48"/>
    <row r="281" ht="15.75" customHeight="1" s="48"/>
    <row r="282" ht="15.75" customHeight="1" s="48"/>
    <row r="283" ht="15.75" customHeight="1" s="48"/>
    <row r="284" ht="15.75" customHeight="1" s="48"/>
    <row r="285" ht="15.75" customHeight="1" s="48"/>
    <row r="286" ht="15.75" customHeight="1" s="48"/>
    <row r="287" ht="15.75" customHeight="1" s="48"/>
    <row r="288" ht="15.75" customHeight="1" s="48"/>
    <row r="289" ht="15.75" customHeight="1" s="48"/>
    <row r="290" ht="15.75" customHeight="1" s="48"/>
    <row r="291" ht="15.75" customHeight="1" s="48"/>
    <row r="292" ht="15.75" customHeight="1" s="48"/>
    <row r="293" ht="15.75" customHeight="1" s="48"/>
    <row r="294" ht="15.75" customHeight="1" s="48"/>
    <row r="295" ht="15.75" customHeight="1" s="48"/>
    <row r="296" ht="15.75" customHeight="1" s="48"/>
    <row r="297" ht="15.75" customHeight="1" s="48"/>
    <row r="298" ht="15.75" customHeight="1" s="48"/>
    <row r="299" ht="15.75" customHeight="1" s="48"/>
    <row r="300" ht="15.75" customHeight="1" s="48"/>
    <row r="301" ht="15.75" customHeight="1" s="48"/>
    <row r="302" ht="15.75" customHeight="1" s="48"/>
    <row r="303" ht="15.75" customHeight="1" s="48"/>
    <row r="304" ht="15.75" customHeight="1" s="48"/>
    <row r="305" ht="15.75" customHeight="1" s="48"/>
    <row r="306" ht="15.75" customHeight="1" s="48"/>
    <row r="307" ht="15.75" customHeight="1" s="48"/>
    <row r="308" ht="15.75" customHeight="1" s="48"/>
    <row r="309" ht="15.75" customHeight="1" s="48"/>
    <row r="310" ht="15.75" customHeight="1" s="48"/>
    <row r="311" ht="15.75" customHeight="1" s="48"/>
    <row r="312" ht="15.75" customHeight="1" s="48"/>
    <row r="313" ht="15.75" customHeight="1" s="48"/>
    <row r="314" ht="15.75" customHeight="1" s="48"/>
    <row r="315" ht="15.75" customHeight="1" s="48"/>
    <row r="316" ht="15.75" customHeight="1" s="48"/>
    <row r="317" ht="15.75" customHeight="1" s="48"/>
    <row r="318" ht="15.75" customHeight="1" s="48"/>
    <row r="319" ht="15.75" customHeight="1" s="48"/>
    <row r="320" ht="15.75" customHeight="1" s="48"/>
    <row r="321" ht="15.75" customHeight="1" s="48"/>
    <row r="322" ht="15.75" customHeight="1" s="48"/>
    <row r="323" ht="15.75" customHeight="1" s="48"/>
    <row r="324" ht="15.75" customHeight="1" s="48"/>
    <row r="325" ht="15.75" customHeight="1" s="48"/>
    <row r="326" ht="15.75" customHeight="1" s="48"/>
    <row r="327" ht="15.75" customHeight="1" s="48"/>
    <row r="328" ht="15.75" customHeight="1" s="48"/>
    <row r="329" ht="15.75" customHeight="1" s="48"/>
    <row r="330" ht="15.75" customHeight="1" s="48"/>
    <row r="331" ht="15.75" customHeight="1" s="48"/>
    <row r="332" ht="15.75" customHeight="1" s="48"/>
    <row r="333" ht="15.75" customHeight="1" s="48"/>
    <row r="334" ht="15.75" customHeight="1" s="48"/>
    <row r="335" ht="15.75" customHeight="1" s="48"/>
    <row r="336" ht="15.75" customHeight="1" s="48"/>
    <row r="337" ht="15.75" customHeight="1" s="48"/>
    <row r="338" ht="15.75" customHeight="1" s="48"/>
    <row r="339" ht="15.75" customHeight="1" s="48"/>
    <row r="340" ht="15.75" customHeight="1" s="48"/>
    <row r="341" ht="15.75" customHeight="1" s="48"/>
    <row r="342" ht="15.75" customHeight="1" s="48"/>
    <row r="343" ht="15.75" customHeight="1" s="48"/>
    <row r="344" ht="15.75" customHeight="1" s="48"/>
    <row r="345" ht="15.75" customHeight="1" s="48"/>
    <row r="346" ht="15.75" customHeight="1" s="48"/>
    <row r="347" ht="15.75" customHeight="1" s="48"/>
    <row r="348" ht="15.75" customHeight="1" s="48"/>
    <row r="349" ht="15.75" customHeight="1" s="48"/>
    <row r="350" ht="15.75" customHeight="1" s="48"/>
    <row r="351" ht="15.75" customHeight="1" s="48"/>
    <row r="352" ht="15.75" customHeight="1" s="48"/>
    <row r="353" ht="15.75" customHeight="1" s="48"/>
    <row r="354" ht="15.75" customHeight="1" s="48"/>
    <row r="355" ht="15.75" customHeight="1" s="48"/>
    <row r="356" ht="15.75" customHeight="1" s="48"/>
    <row r="357" ht="15.75" customHeight="1" s="48"/>
    <row r="358" ht="15.75" customHeight="1" s="48"/>
    <row r="359" ht="15.75" customHeight="1" s="48"/>
    <row r="360" ht="15.75" customHeight="1" s="48"/>
    <row r="361" ht="15.75" customHeight="1" s="48"/>
    <row r="362" ht="15.75" customHeight="1" s="48"/>
    <row r="363" ht="15.75" customHeight="1" s="48"/>
    <row r="364" ht="15.75" customHeight="1" s="48"/>
    <row r="365" ht="15.75" customHeight="1" s="48"/>
    <row r="366" ht="15.75" customHeight="1" s="48"/>
    <row r="367" ht="15.75" customHeight="1" s="48"/>
    <row r="368" ht="15.75" customHeight="1" s="48"/>
    <row r="369" ht="15.75" customHeight="1" s="48"/>
    <row r="370" ht="15.75" customHeight="1" s="48"/>
    <row r="371" ht="15.75" customHeight="1" s="48"/>
    <row r="372" ht="15.75" customHeight="1" s="48"/>
    <row r="373" ht="15.75" customHeight="1" s="48"/>
    <row r="374" ht="15.75" customHeight="1" s="48"/>
    <row r="375" ht="15.75" customHeight="1" s="48"/>
    <row r="376" ht="15.75" customHeight="1" s="48"/>
    <row r="377" ht="15.75" customHeight="1" s="48"/>
    <row r="378" ht="15.75" customHeight="1" s="48"/>
    <row r="379" ht="15.75" customHeight="1" s="48"/>
    <row r="380" ht="15.75" customHeight="1" s="48"/>
    <row r="381" ht="15.75" customHeight="1" s="48"/>
    <row r="382" ht="15.75" customHeight="1" s="48"/>
    <row r="383" ht="15.75" customHeight="1" s="48"/>
    <row r="384" ht="15.75" customHeight="1" s="48"/>
    <row r="385" ht="15.75" customHeight="1" s="48"/>
    <row r="386" ht="15.75" customHeight="1" s="48"/>
    <row r="387" ht="15.75" customHeight="1" s="48"/>
    <row r="388" ht="15.75" customHeight="1" s="48"/>
    <row r="389" ht="15.75" customHeight="1" s="48"/>
    <row r="390" ht="15.75" customHeight="1" s="48"/>
    <row r="391" ht="15.75" customHeight="1" s="48"/>
    <row r="392" ht="15.75" customHeight="1" s="48"/>
    <row r="393" ht="15.75" customHeight="1" s="48"/>
    <row r="394" ht="15.75" customHeight="1" s="48"/>
    <row r="395" ht="15.75" customHeight="1" s="48"/>
    <row r="396" ht="15.75" customHeight="1" s="48"/>
    <row r="397" ht="15.75" customHeight="1" s="48"/>
    <row r="398" ht="15.75" customHeight="1" s="48"/>
    <row r="399" ht="15.75" customHeight="1" s="48"/>
    <row r="400" ht="15.75" customHeight="1" s="48"/>
    <row r="401" ht="15.75" customHeight="1" s="48"/>
    <row r="402" ht="15.75" customHeight="1" s="48"/>
    <row r="403" ht="15.75" customHeight="1" s="48"/>
    <row r="404" ht="15.75" customHeight="1" s="48"/>
    <row r="405" ht="15.75" customHeight="1" s="48"/>
    <row r="406" ht="15.75" customHeight="1" s="48"/>
    <row r="407" ht="15.75" customHeight="1" s="48"/>
    <row r="408" ht="15.75" customHeight="1" s="48"/>
    <row r="409" ht="15.75" customHeight="1" s="48"/>
    <row r="410" ht="15.75" customHeight="1" s="48"/>
    <row r="411" ht="15.75" customHeight="1" s="48"/>
    <row r="412" ht="15.75" customHeight="1" s="48"/>
    <row r="413" ht="15.75" customHeight="1" s="48"/>
    <row r="414" ht="15.75" customHeight="1" s="48"/>
    <row r="415" ht="15.75" customHeight="1" s="48"/>
    <row r="416" ht="15.75" customHeight="1" s="48"/>
    <row r="417" ht="15.75" customHeight="1" s="48"/>
    <row r="418" ht="15.75" customHeight="1" s="48"/>
    <row r="419" ht="15.75" customHeight="1" s="48"/>
    <row r="420" ht="15.75" customHeight="1" s="48"/>
    <row r="421" ht="15.75" customHeight="1" s="48"/>
    <row r="422" ht="15.75" customHeight="1" s="48"/>
    <row r="423" ht="15.75" customHeight="1" s="48"/>
    <row r="424" ht="15.75" customHeight="1" s="48"/>
    <row r="425" ht="15.75" customHeight="1" s="48"/>
    <row r="426" ht="15.75" customHeight="1" s="48"/>
    <row r="427" ht="15.75" customHeight="1" s="48"/>
    <row r="428" ht="15.75" customHeight="1" s="48"/>
    <row r="429" ht="15.75" customHeight="1" s="48"/>
    <row r="430" ht="15.75" customHeight="1" s="48"/>
    <row r="431" ht="15.75" customHeight="1" s="48"/>
    <row r="432" ht="15.75" customHeight="1" s="48"/>
    <row r="433" ht="15.75" customHeight="1" s="48"/>
    <row r="434" ht="15.75" customHeight="1" s="48"/>
    <row r="435" ht="15.75" customHeight="1" s="48"/>
    <row r="436" ht="15.75" customHeight="1" s="48"/>
    <row r="437" ht="15.75" customHeight="1" s="48"/>
    <row r="438" ht="15.75" customHeight="1" s="48"/>
    <row r="439" ht="15.75" customHeight="1" s="48"/>
    <row r="440" ht="15.75" customHeight="1" s="48"/>
    <row r="441" ht="15.75" customHeight="1" s="48"/>
    <row r="442" ht="15.75" customHeight="1" s="48"/>
    <row r="443" ht="15.75" customHeight="1" s="48"/>
    <row r="444" ht="15.75" customHeight="1" s="48"/>
    <row r="445" ht="15.75" customHeight="1" s="48"/>
    <row r="446" ht="15.75" customHeight="1" s="48"/>
    <row r="447" ht="15.75" customHeight="1" s="48"/>
    <row r="448" ht="15.75" customHeight="1" s="48"/>
    <row r="449" ht="15.75" customHeight="1" s="48"/>
    <row r="450" ht="15.75" customHeight="1" s="48"/>
    <row r="451" ht="15.75" customHeight="1" s="48"/>
    <row r="452" ht="15.75" customHeight="1" s="48"/>
    <row r="453" ht="15.75" customHeight="1" s="48"/>
    <row r="454" ht="15.75" customHeight="1" s="48"/>
    <row r="455" ht="15.75" customHeight="1" s="48"/>
    <row r="456" ht="15.75" customHeight="1" s="48"/>
    <row r="457" ht="15.75" customHeight="1" s="48"/>
    <row r="458" ht="15.75" customHeight="1" s="48"/>
    <row r="459" ht="15.75" customHeight="1" s="48"/>
    <row r="460" ht="15.75" customHeight="1" s="48"/>
    <row r="461" ht="15.75" customHeight="1" s="48"/>
    <row r="462" ht="15.75" customHeight="1" s="48"/>
    <row r="463" ht="15.75" customHeight="1" s="48"/>
    <row r="464" ht="15.75" customHeight="1" s="48"/>
    <row r="465" ht="15.75" customHeight="1" s="48"/>
    <row r="466" ht="15.75" customHeight="1" s="48"/>
    <row r="467" ht="15.75" customHeight="1" s="48"/>
    <row r="468" ht="15.75" customHeight="1" s="48"/>
    <row r="469" ht="15.75" customHeight="1" s="48"/>
    <row r="470" ht="15.75" customHeight="1" s="48"/>
    <row r="471" ht="15.75" customHeight="1" s="48"/>
    <row r="472" ht="15.75" customHeight="1" s="48"/>
    <row r="473" ht="15.75" customHeight="1" s="48"/>
    <row r="474" ht="15.75" customHeight="1" s="48"/>
    <row r="475" ht="15.75" customHeight="1" s="48"/>
    <row r="476" ht="15.75" customHeight="1" s="48"/>
    <row r="477" ht="15.75" customHeight="1" s="48"/>
    <row r="478" ht="15.75" customHeight="1" s="48"/>
    <row r="479" ht="15.75" customHeight="1" s="48"/>
    <row r="480" ht="15.75" customHeight="1" s="48"/>
    <row r="481" ht="15.75" customHeight="1" s="48"/>
    <row r="482" ht="15.75" customHeight="1" s="48"/>
    <row r="483" ht="15.75" customHeight="1" s="48"/>
    <row r="484" ht="15.75" customHeight="1" s="48"/>
    <row r="485" ht="15.75" customHeight="1" s="48"/>
    <row r="486" ht="15.75" customHeight="1" s="48"/>
    <row r="487" ht="15.75" customHeight="1" s="48"/>
    <row r="488" ht="15.75" customHeight="1" s="48"/>
    <row r="489" ht="15.75" customHeight="1" s="48"/>
    <row r="490" ht="15.75" customHeight="1" s="48"/>
    <row r="491" ht="15.75" customHeight="1" s="48"/>
    <row r="492" ht="15.75" customHeight="1" s="48"/>
    <row r="493" ht="15.75" customHeight="1" s="48"/>
    <row r="494" ht="15.75" customHeight="1" s="48"/>
    <row r="495" ht="15.75" customHeight="1" s="48"/>
    <row r="496" ht="15.75" customHeight="1" s="48"/>
    <row r="497" ht="15.75" customHeight="1" s="48"/>
    <row r="498" ht="15.75" customHeight="1" s="48"/>
    <row r="499" ht="15.75" customHeight="1" s="48"/>
    <row r="500" ht="15.75" customHeight="1" s="48"/>
    <row r="501" ht="15.75" customHeight="1" s="48"/>
    <row r="502" ht="15.75" customHeight="1" s="48"/>
    <row r="503" ht="15.75" customHeight="1" s="48"/>
    <row r="504" ht="15.75" customHeight="1" s="48"/>
    <row r="505" ht="15.75" customHeight="1" s="48"/>
    <row r="506" ht="15.75" customHeight="1" s="48"/>
    <row r="507" ht="15.75" customHeight="1" s="48"/>
    <row r="508" ht="15.75" customHeight="1" s="48"/>
    <row r="509" ht="15.75" customHeight="1" s="48"/>
    <row r="510" ht="15.75" customHeight="1" s="48"/>
    <row r="511" ht="15.75" customHeight="1" s="48"/>
    <row r="512" ht="15.75" customHeight="1" s="48"/>
    <row r="513" ht="15.75" customHeight="1" s="48"/>
    <row r="514" ht="15.75" customHeight="1" s="48"/>
    <row r="515" ht="15.75" customHeight="1" s="48"/>
    <row r="516" ht="15.75" customHeight="1" s="48"/>
    <row r="517" ht="15.75" customHeight="1" s="48"/>
    <row r="518" ht="15.75" customHeight="1" s="48"/>
    <row r="519" ht="15.75" customHeight="1" s="48"/>
    <row r="520" ht="15.75" customHeight="1" s="48"/>
    <row r="521" ht="15.75" customHeight="1" s="48"/>
    <row r="522" ht="15.75" customHeight="1" s="48"/>
    <row r="523" ht="15.75" customHeight="1" s="48"/>
    <row r="524" ht="15.75" customHeight="1" s="48"/>
    <row r="525" ht="15.75" customHeight="1" s="48"/>
    <row r="526" ht="15.75" customHeight="1" s="48"/>
    <row r="527" ht="15.75" customHeight="1" s="48"/>
    <row r="528" ht="15.75" customHeight="1" s="48"/>
    <row r="529" ht="15.75" customHeight="1" s="48"/>
    <row r="530" ht="15.75" customHeight="1" s="48"/>
    <row r="531" ht="15.75" customHeight="1" s="48"/>
    <row r="532" ht="15.75" customHeight="1" s="48"/>
    <row r="533" ht="15.75" customHeight="1" s="48"/>
    <row r="534" ht="15.75" customHeight="1" s="48"/>
    <row r="535" ht="15.75" customHeight="1" s="48"/>
    <row r="536" ht="15.75" customHeight="1" s="48"/>
    <row r="537" ht="15.75" customHeight="1" s="48"/>
    <row r="538" ht="15.75" customHeight="1" s="48"/>
    <row r="539" ht="15.75" customHeight="1" s="48"/>
    <row r="540" ht="15.75" customHeight="1" s="48"/>
    <row r="541" ht="15.75" customHeight="1" s="48"/>
    <row r="542" ht="15.75" customHeight="1" s="48"/>
    <row r="543" ht="15.75" customHeight="1" s="48"/>
    <row r="544" ht="15.75" customHeight="1" s="48"/>
    <row r="545" ht="15.75" customHeight="1" s="48"/>
    <row r="546" ht="15.75" customHeight="1" s="48"/>
    <row r="547" ht="15.75" customHeight="1" s="48"/>
    <row r="548" ht="15.75" customHeight="1" s="48"/>
    <row r="549" ht="15.75" customHeight="1" s="48"/>
    <row r="550" ht="15.75" customHeight="1" s="48"/>
    <row r="551" ht="15.75" customHeight="1" s="48"/>
    <row r="552" ht="15.75" customHeight="1" s="48"/>
    <row r="553" ht="15.75" customHeight="1" s="48"/>
    <row r="554" ht="15.75" customHeight="1" s="48"/>
    <row r="555" ht="15.75" customHeight="1" s="48"/>
    <row r="556" ht="15.75" customHeight="1" s="48"/>
    <row r="557" ht="15.75" customHeight="1" s="48"/>
    <row r="558" ht="15.75" customHeight="1" s="48"/>
    <row r="559" ht="15.75" customHeight="1" s="48"/>
    <row r="560" ht="15.75" customHeight="1" s="48"/>
    <row r="561" ht="15.75" customHeight="1" s="48"/>
    <row r="562" ht="15.75" customHeight="1" s="48"/>
    <row r="563" ht="15.75" customHeight="1" s="48"/>
    <row r="564" ht="15.75" customHeight="1" s="48"/>
    <row r="565" ht="15.75" customHeight="1" s="48"/>
    <row r="566" ht="15.75" customHeight="1" s="48"/>
    <row r="567" ht="15.75" customHeight="1" s="48"/>
    <row r="568" ht="15.75" customHeight="1" s="48"/>
    <row r="569" ht="15.75" customHeight="1" s="48"/>
    <row r="570" ht="15.75" customHeight="1" s="48"/>
    <row r="571" ht="15.75" customHeight="1" s="48"/>
    <row r="572" ht="15.75" customHeight="1" s="48"/>
    <row r="573" ht="15.75" customHeight="1" s="48"/>
    <row r="574" ht="15.75" customHeight="1" s="48"/>
    <row r="575" ht="15.75" customHeight="1" s="48"/>
    <row r="576" ht="15.75" customHeight="1" s="48"/>
    <row r="577" ht="15.75" customHeight="1" s="48"/>
    <row r="578" ht="15.75" customHeight="1" s="48"/>
    <row r="579" ht="15.75" customHeight="1" s="48"/>
    <row r="580" ht="15.75" customHeight="1" s="48"/>
    <row r="581" ht="15.75" customHeight="1" s="48"/>
    <row r="582" ht="15.75" customHeight="1" s="48"/>
    <row r="583" ht="15.75" customHeight="1" s="48"/>
    <row r="584" ht="15.75" customHeight="1" s="48"/>
    <row r="585" ht="15.75" customHeight="1" s="48"/>
    <row r="586" ht="15.75" customHeight="1" s="48"/>
    <row r="587" ht="15.75" customHeight="1" s="48"/>
    <row r="588" ht="15.75" customHeight="1" s="48"/>
    <row r="589" ht="15.75" customHeight="1" s="48"/>
    <row r="590" ht="15.75" customHeight="1" s="48"/>
    <row r="591" ht="15.75" customHeight="1" s="48"/>
    <row r="592" ht="15.75" customHeight="1" s="48"/>
    <row r="593" ht="15.75" customHeight="1" s="48"/>
    <row r="594" ht="15.75" customHeight="1" s="48"/>
    <row r="595" ht="15.75" customHeight="1" s="48"/>
    <row r="596" ht="15.75" customHeight="1" s="48"/>
    <row r="597" ht="15.75" customHeight="1" s="48"/>
    <row r="598" ht="15.75" customHeight="1" s="48"/>
    <row r="599" ht="15.75" customHeight="1" s="48"/>
    <row r="600" ht="15.75" customHeight="1" s="48"/>
    <row r="601" ht="15.75" customHeight="1" s="48"/>
    <row r="602" ht="15.75" customHeight="1" s="48"/>
    <row r="603" ht="15.75" customHeight="1" s="48"/>
    <row r="604" ht="15.75" customHeight="1" s="48"/>
    <row r="605" ht="15.75" customHeight="1" s="48"/>
    <row r="606" ht="15.75" customHeight="1" s="48"/>
    <row r="607" ht="15.75" customHeight="1" s="48"/>
    <row r="608" ht="15.75" customHeight="1" s="48"/>
    <row r="609" ht="15.75" customHeight="1" s="48"/>
    <row r="610" ht="15.75" customHeight="1" s="48"/>
    <row r="611" ht="15.75" customHeight="1" s="48"/>
    <row r="612" ht="15.75" customHeight="1" s="48"/>
    <row r="613" ht="15.75" customHeight="1" s="48"/>
    <row r="614" ht="15.75" customHeight="1" s="48"/>
    <row r="615" ht="15.75" customHeight="1" s="48"/>
    <row r="616" ht="15.75" customHeight="1" s="48"/>
    <row r="617" ht="15.75" customHeight="1" s="48"/>
    <row r="618" ht="15.75" customHeight="1" s="48"/>
    <row r="619" ht="15.75" customHeight="1" s="48"/>
    <row r="620" ht="15.75" customHeight="1" s="48"/>
    <row r="621" ht="15.75" customHeight="1" s="48"/>
    <row r="622" ht="15.75" customHeight="1" s="48"/>
    <row r="623" ht="15.75" customHeight="1" s="48"/>
    <row r="624" ht="15.75" customHeight="1" s="48"/>
    <row r="625" ht="15.75" customHeight="1" s="48"/>
    <row r="626" ht="15.75" customHeight="1" s="48"/>
    <row r="627" ht="15.75" customHeight="1" s="48"/>
    <row r="628" ht="15.75" customHeight="1" s="48"/>
    <row r="629" ht="15.75" customHeight="1" s="48"/>
    <row r="630" ht="15.75" customHeight="1" s="48"/>
    <row r="631" ht="15.75" customHeight="1" s="48"/>
    <row r="632" ht="15.75" customHeight="1" s="48"/>
    <row r="633" ht="15.75" customHeight="1" s="48"/>
    <row r="634" ht="15.75" customHeight="1" s="48"/>
    <row r="635" ht="15.75" customHeight="1" s="48"/>
    <row r="636" ht="15.75" customHeight="1" s="48"/>
    <row r="637" ht="15.75" customHeight="1" s="48"/>
    <row r="638" ht="15.75" customHeight="1" s="48"/>
    <row r="639" ht="15.75" customHeight="1" s="48"/>
    <row r="640" ht="15.75" customHeight="1" s="48"/>
    <row r="641" ht="15.75" customHeight="1" s="48"/>
    <row r="642" ht="15.75" customHeight="1" s="48"/>
    <row r="643" ht="15.75" customHeight="1" s="48"/>
    <row r="644" ht="15.75" customHeight="1" s="48"/>
    <row r="645" ht="15.75" customHeight="1" s="48"/>
    <row r="646" ht="15.75" customHeight="1" s="48"/>
    <row r="647" ht="15.75" customHeight="1" s="48"/>
    <row r="648" ht="15.75" customHeight="1" s="48"/>
    <row r="649" ht="15.75" customHeight="1" s="48"/>
    <row r="650" ht="15.75" customHeight="1" s="48"/>
    <row r="651" ht="15.75" customHeight="1" s="48"/>
    <row r="652" ht="15.75" customHeight="1" s="48"/>
    <row r="653" ht="15.75" customHeight="1" s="48"/>
    <row r="654" ht="15.75" customHeight="1" s="48"/>
    <row r="655" ht="15.75" customHeight="1" s="48"/>
    <row r="656" ht="15.75" customHeight="1" s="48"/>
    <row r="657" ht="15.75" customHeight="1" s="48"/>
    <row r="658" ht="15.75" customHeight="1" s="48"/>
    <row r="659" ht="15.75" customHeight="1" s="48"/>
    <row r="660" ht="15.75" customHeight="1" s="48"/>
    <row r="661" ht="15.75" customHeight="1" s="48"/>
    <row r="662" ht="15.75" customHeight="1" s="48"/>
    <row r="663" ht="15.75" customHeight="1" s="48"/>
    <row r="664" ht="15.75" customHeight="1" s="48"/>
    <row r="665" ht="15.75" customHeight="1" s="48"/>
    <row r="666" ht="15.75" customHeight="1" s="48"/>
    <row r="667" ht="15.75" customHeight="1" s="48"/>
    <row r="668" ht="15.75" customHeight="1" s="48"/>
    <row r="669" ht="15.75" customHeight="1" s="48"/>
    <row r="670" ht="15.75" customHeight="1" s="48"/>
    <row r="671" ht="15.75" customHeight="1" s="48"/>
    <row r="672" ht="15.75" customHeight="1" s="48"/>
    <row r="673" ht="15.75" customHeight="1" s="48"/>
    <row r="674" ht="15.75" customHeight="1" s="48"/>
    <row r="675" ht="15.75" customHeight="1" s="48"/>
    <row r="676" ht="15.75" customHeight="1" s="48"/>
    <row r="677" ht="15.75" customHeight="1" s="48"/>
    <row r="678" ht="15.75" customHeight="1" s="48"/>
    <row r="679" ht="15.75" customHeight="1" s="48"/>
    <row r="680" ht="15.75" customHeight="1" s="48"/>
    <row r="681" ht="15.75" customHeight="1" s="48"/>
    <row r="682" ht="15.75" customHeight="1" s="48"/>
    <row r="683" ht="15.75" customHeight="1" s="48"/>
    <row r="684" ht="15.75" customHeight="1" s="48"/>
    <row r="685" ht="15.75" customHeight="1" s="48"/>
    <row r="686" ht="15.75" customHeight="1" s="48"/>
    <row r="687" ht="15.75" customHeight="1" s="48"/>
    <row r="688" ht="15.75" customHeight="1" s="48"/>
    <row r="689" ht="15.75" customHeight="1" s="48"/>
    <row r="690" ht="15.75" customHeight="1" s="48"/>
    <row r="691" ht="15.75" customHeight="1" s="48"/>
    <row r="692" ht="15.75" customHeight="1" s="48"/>
    <row r="693" ht="15.75" customHeight="1" s="48"/>
    <row r="694" ht="15.75" customHeight="1" s="48"/>
    <row r="695" ht="15.75" customHeight="1" s="48"/>
    <row r="696" ht="15.75" customHeight="1" s="48"/>
    <row r="697" ht="15.75" customHeight="1" s="48"/>
    <row r="698" ht="15.75" customHeight="1" s="48"/>
    <row r="699" ht="15.75" customHeight="1" s="48"/>
    <row r="700" ht="15.75" customHeight="1" s="48"/>
    <row r="701" ht="15.75" customHeight="1" s="48"/>
    <row r="702" ht="15.75" customHeight="1" s="48"/>
    <row r="703" ht="15.75" customHeight="1" s="48"/>
    <row r="704" ht="15.75" customHeight="1" s="48"/>
    <row r="705" ht="15.75" customHeight="1" s="48"/>
    <row r="706" ht="15.75" customHeight="1" s="48"/>
    <row r="707" ht="15.75" customHeight="1" s="48"/>
    <row r="708" ht="15.75" customHeight="1" s="48"/>
    <row r="709" ht="15.75" customHeight="1" s="48"/>
    <row r="710" ht="15.75" customHeight="1" s="48"/>
    <row r="711" ht="15.75" customHeight="1" s="48"/>
    <row r="712" ht="15.75" customHeight="1" s="48"/>
    <row r="713" ht="15.75" customHeight="1" s="48"/>
    <row r="714" ht="15.75" customHeight="1" s="48"/>
    <row r="715" ht="15.75" customHeight="1" s="48"/>
    <row r="716" ht="15.75" customHeight="1" s="48"/>
    <row r="717" ht="15.75" customHeight="1" s="48"/>
    <row r="718" ht="15.75" customHeight="1" s="48"/>
    <row r="719" ht="15.75" customHeight="1" s="48"/>
    <row r="720" ht="15.75" customHeight="1" s="48"/>
    <row r="721" ht="15.75" customHeight="1" s="48"/>
    <row r="722" ht="15.75" customHeight="1" s="48"/>
    <row r="723" ht="15.75" customHeight="1" s="48"/>
    <row r="724" ht="15.75" customHeight="1" s="48"/>
    <row r="725" ht="15.75" customHeight="1" s="48"/>
    <row r="726" ht="15.75" customHeight="1" s="48"/>
    <row r="727" ht="15.75" customHeight="1" s="48"/>
    <row r="728" ht="15.75" customHeight="1" s="48"/>
    <row r="729" ht="15.75" customHeight="1" s="48"/>
    <row r="730" ht="15.75" customHeight="1" s="48"/>
    <row r="731" ht="15.75" customHeight="1" s="48"/>
    <row r="732" ht="15.75" customHeight="1" s="48"/>
    <row r="733" ht="15.75" customHeight="1" s="48"/>
    <row r="734" ht="15.75" customHeight="1" s="48"/>
    <row r="735" ht="15.75" customHeight="1" s="48"/>
    <row r="736" ht="15.75" customHeight="1" s="48"/>
    <row r="737" ht="15.75" customHeight="1" s="48"/>
    <row r="738" ht="15.75" customHeight="1" s="48"/>
    <row r="739" ht="15.75" customHeight="1" s="48"/>
    <row r="740" ht="15.75" customHeight="1" s="48"/>
    <row r="741" ht="15.75" customHeight="1" s="48"/>
    <row r="742" ht="15.75" customHeight="1" s="48"/>
    <row r="743" ht="15.75" customHeight="1" s="48"/>
    <row r="744" ht="15.75" customHeight="1" s="48"/>
    <row r="745" ht="15.75" customHeight="1" s="48"/>
    <row r="746" ht="15.75" customHeight="1" s="48"/>
    <row r="747" ht="15.75" customHeight="1" s="48"/>
    <row r="748" ht="15.75" customHeight="1" s="48"/>
    <row r="749" ht="15.75" customHeight="1" s="48"/>
    <row r="750" ht="15.75" customHeight="1" s="48"/>
    <row r="751" ht="15.75" customHeight="1" s="48"/>
    <row r="752" ht="15.75" customHeight="1" s="48"/>
    <row r="753" ht="15.75" customHeight="1" s="48"/>
    <row r="754" ht="15.75" customHeight="1" s="48"/>
    <row r="755" ht="15.75" customHeight="1" s="48"/>
    <row r="756" ht="15.75" customHeight="1" s="48"/>
    <row r="757" ht="15.75" customHeight="1" s="48"/>
    <row r="758" ht="15.75" customHeight="1" s="48"/>
    <row r="759" ht="15.75" customHeight="1" s="48"/>
    <row r="760" ht="15.75" customHeight="1" s="48"/>
    <row r="761" ht="15.75" customHeight="1" s="48"/>
    <row r="762" ht="15.75" customHeight="1" s="48"/>
    <row r="763" ht="15.75" customHeight="1" s="48"/>
    <row r="764" ht="15.75" customHeight="1" s="48"/>
    <row r="765" ht="15.75" customHeight="1" s="48"/>
    <row r="766" ht="15.75" customHeight="1" s="48"/>
    <row r="767" ht="15.75" customHeight="1" s="48"/>
    <row r="768" ht="15.75" customHeight="1" s="48"/>
    <row r="769" ht="15.75" customHeight="1" s="48"/>
    <row r="770" ht="15.75" customHeight="1" s="48"/>
    <row r="771" ht="15.75" customHeight="1" s="48"/>
    <row r="772" ht="15.75" customHeight="1" s="48"/>
    <row r="773" ht="15.75" customHeight="1" s="48"/>
    <row r="774" ht="15.75" customHeight="1" s="48"/>
    <row r="775" ht="15.75" customHeight="1" s="48"/>
    <row r="776" ht="15.75" customHeight="1" s="48"/>
    <row r="777" ht="15.75" customHeight="1" s="48"/>
    <row r="778" ht="15.75" customHeight="1" s="48"/>
    <row r="779" ht="15.75" customHeight="1" s="48"/>
    <row r="780" ht="15.75" customHeight="1" s="48"/>
    <row r="781" ht="15.75" customHeight="1" s="48"/>
    <row r="782" ht="15.75" customHeight="1" s="48"/>
    <row r="783" ht="15.75" customHeight="1" s="48"/>
    <row r="784" ht="15.75" customHeight="1" s="48"/>
    <row r="785" ht="15.75" customHeight="1" s="48"/>
    <row r="786" ht="15.75" customHeight="1" s="48"/>
    <row r="787" ht="15.75" customHeight="1" s="48"/>
    <row r="788" ht="15.75" customHeight="1" s="48"/>
    <row r="789" ht="15.75" customHeight="1" s="48"/>
    <row r="790" ht="15.75" customHeight="1" s="48"/>
    <row r="791" ht="15.75" customHeight="1" s="48"/>
    <row r="792" ht="15.75" customHeight="1" s="48"/>
    <row r="793" ht="15.75" customHeight="1" s="48"/>
    <row r="794" ht="15.75" customHeight="1" s="48"/>
    <row r="795" ht="15.75" customHeight="1" s="48"/>
    <row r="796" ht="15.75" customHeight="1" s="48"/>
    <row r="797" ht="15.75" customHeight="1" s="48"/>
    <row r="798" ht="15.75" customHeight="1" s="48"/>
    <row r="799" ht="15.75" customHeight="1" s="48"/>
    <row r="800" ht="15.75" customHeight="1" s="48"/>
    <row r="801" ht="15.75" customHeight="1" s="48"/>
    <row r="802" ht="15.75" customHeight="1" s="48"/>
    <row r="803" ht="15.75" customHeight="1" s="48"/>
    <row r="804" ht="15.75" customHeight="1" s="48"/>
    <row r="805" ht="15.75" customHeight="1" s="48"/>
    <row r="806" ht="15.75" customHeight="1" s="48"/>
    <row r="807" ht="15.75" customHeight="1" s="48"/>
    <row r="808" ht="15.75" customHeight="1" s="48"/>
    <row r="809" ht="15.75" customHeight="1" s="48"/>
    <row r="810" ht="15.75" customHeight="1" s="48"/>
    <row r="811" ht="15.75" customHeight="1" s="48"/>
    <row r="812" ht="15.75" customHeight="1" s="48"/>
    <row r="813" ht="15.75" customHeight="1" s="48"/>
    <row r="814" ht="15.75" customHeight="1" s="48"/>
    <row r="815" ht="15.75" customHeight="1" s="48"/>
    <row r="816" ht="15.75" customHeight="1" s="48"/>
    <row r="817" ht="15.75" customHeight="1" s="48"/>
    <row r="818" ht="15.75" customHeight="1" s="48"/>
    <row r="819" ht="15.75" customHeight="1" s="48"/>
    <row r="820" ht="15.75" customHeight="1" s="48"/>
    <row r="821" ht="15.75" customHeight="1" s="48"/>
    <row r="822" ht="15.75" customHeight="1" s="48"/>
    <row r="823" ht="15.75" customHeight="1" s="48"/>
    <row r="824" ht="15.75" customHeight="1" s="48"/>
    <row r="825" ht="15.75" customHeight="1" s="48"/>
    <row r="826" ht="15.75" customHeight="1" s="48"/>
    <row r="827" ht="15.75" customHeight="1" s="48"/>
    <row r="828" ht="15.75" customHeight="1" s="48"/>
    <row r="829" ht="15.75" customHeight="1" s="48"/>
    <row r="830" ht="15.75" customHeight="1" s="48"/>
    <row r="831" ht="15.75" customHeight="1" s="48"/>
    <row r="832" ht="15.75" customHeight="1" s="48"/>
    <row r="833" ht="15.75" customHeight="1" s="48"/>
    <row r="834" ht="15.75" customHeight="1" s="48"/>
    <row r="835" ht="15.75" customHeight="1" s="48"/>
    <row r="836" ht="15.75" customHeight="1" s="48"/>
    <row r="837" ht="15.75" customHeight="1" s="48"/>
    <row r="838" ht="15.75" customHeight="1" s="48"/>
    <row r="839" ht="15.75" customHeight="1" s="48"/>
    <row r="840" ht="15.75" customHeight="1" s="48"/>
    <row r="841" ht="15.75" customHeight="1" s="48"/>
    <row r="842" ht="15.75" customHeight="1" s="48"/>
    <row r="843" ht="15.75" customHeight="1" s="48"/>
    <row r="844" ht="15.75" customHeight="1" s="48"/>
    <row r="845" ht="15.75" customHeight="1" s="48"/>
    <row r="846" ht="15.75" customHeight="1" s="48"/>
    <row r="847" ht="15.75" customHeight="1" s="48"/>
    <row r="848" ht="15.75" customHeight="1" s="48"/>
    <row r="849" ht="15.75" customHeight="1" s="48"/>
    <row r="850" ht="15.75" customHeight="1" s="48"/>
    <row r="851" ht="15.75" customHeight="1" s="48"/>
    <row r="852" ht="15.75" customHeight="1" s="48"/>
    <row r="853" ht="15.75" customHeight="1" s="48"/>
    <row r="854" ht="15.75" customHeight="1" s="48"/>
    <row r="855" ht="15.75" customHeight="1" s="48"/>
    <row r="856" ht="15.75" customHeight="1" s="48"/>
    <row r="857" ht="15.75" customHeight="1" s="48"/>
    <row r="858" ht="15.75" customHeight="1" s="48"/>
    <row r="859" ht="15.75" customHeight="1" s="48"/>
    <row r="860" ht="15.75" customHeight="1" s="48"/>
    <row r="861" ht="15.75" customHeight="1" s="48"/>
    <row r="862" ht="15.75" customHeight="1" s="48"/>
    <row r="863" ht="15.75" customHeight="1" s="48"/>
    <row r="864" ht="15.75" customHeight="1" s="48"/>
    <row r="865" ht="15.75" customHeight="1" s="48"/>
    <row r="866" ht="15.75" customHeight="1" s="48"/>
    <row r="867" ht="15.75" customHeight="1" s="48"/>
    <row r="868" ht="15.75" customHeight="1" s="48"/>
    <row r="869" ht="15.75" customHeight="1" s="48"/>
    <row r="870" ht="15.75" customHeight="1" s="48"/>
    <row r="871" ht="15.75" customHeight="1" s="48"/>
    <row r="872" ht="15.75" customHeight="1" s="48"/>
    <row r="873" ht="15.75" customHeight="1" s="48"/>
    <row r="874" ht="15.75" customHeight="1" s="48"/>
    <row r="875" ht="15.75" customHeight="1" s="48"/>
    <row r="876" ht="15.75" customHeight="1" s="48"/>
    <row r="877" ht="15.75" customHeight="1" s="48"/>
    <row r="878" ht="15.75" customHeight="1" s="48"/>
    <row r="879" ht="15.75" customHeight="1" s="48"/>
    <row r="880" ht="15.75" customHeight="1" s="48"/>
    <row r="881" ht="15.75" customHeight="1" s="48"/>
    <row r="882" ht="15.75" customHeight="1" s="48"/>
    <row r="883" ht="15.75" customHeight="1" s="48"/>
    <row r="884" ht="15.75" customHeight="1" s="48"/>
    <row r="885" ht="15.75" customHeight="1" s="48"/>
    <row r="886" ht="15.75" customHeight="1" s="48"/>
    <row r="887" ht="15.75" customHeight="1" s="48"/>
    <row r="888" ht="15.75" customHeight="1" s="48"/>
    <row r="889" ht="15.75" customHeight="1" s="48"/>
    <row r="890" ht="15.75" customHeight="1" s="48"/>
    <row r="891" ht="15.75" customHeight="1" s="48"/>
    <row r="892" ht="15.75" customHeight="1" s="48"/>
    <row r="893" ht="15.75" customHeight="1" s="48"/>
    <row r="894" ht="15.75" customHeight="1" s="48"/>
    <row r="895" ht="15.75" customHeight="1" s="48"/>
    <row r="896" ht="15.75" customHeight="1" s="48"/>
    <row r="897" ht="15.75" customHeight="1" s="48"/>
    <row r="898" ht="15.75" customHeight="1" s="48"/>
    <row r="899" ht="15.75" customHeight="1" s="48"/>
    <row r="900" ht="15.75" customHeight="1" s="48"/>
    <row r="901" ht="15.75" customHeight="1" s="48"/>
    <row r="902" ht="15.75" customHeight="1" s="48"/>
    <row r="903" ht="15.75" customHeight="1" s="48"/>
    <row r="904" ht="15.75" customHeight="1" s="48"/>
    <row r="905" ht="15.75" customHeight="1" s="48"/>
    <row r="906" ht="15.75" customHeight="1" s="48"/>
    <row r="907" ht="15.75" customHeight="1" s="48"/>
    <row r="908" ht="15.75" customHeight="1" s="48"/>
    <row r="909" ht="15.75" customHeight="1" s="48"/>
    <row r="910" ht="15.75" customHeight="1" s="48"/>
    <row r="911" ht="15.75" customHeight="1" s="48"/>
    <row r="912" ht="15.75" customHeight="1" s="48"/>
    <row r="913" ht="15.75" customHeight="1" s="48"/>
    <row r="914" ht="15.75" customHeight="1" s="48"/>
    <row r="915" ht="15.75" customHeight="1" s="48"/>
    <row r="916" ht="15.75" customHeight="1" s="48"/>
    <row r="917" ht="15.75" customHeight="1" s="48"/>
    <row r="918" ht="15.75" customHeight="1" s="48"/>
    <row r="919" ht="15.75" customHeight="1" s="48"/>
    <row r="920" ht="15.75" customHeight="1" s="48"/>
    <row r="921" ht="15.75" customHeight="1" s="48"/>
    <row r="922" ht="15.75" customHeight="1" s="48"/>
    <row r="923" ht="15.75" customHeight="1" s="48"/>
    <row r="924" ht="15.75" customHeight="1" s="48"/>
    <row r="925" ht="15.75" customHeight="1" s="48"/>
    <row r="926" ht="15.75" customHeight="1" s="48"/>
    <row r="927" ht="15.75" customHeight="1" s="48"/>
    <row r="928" ht="15.75" customHeight="1" s="48"/>
    <row r="929" ht="15.75" customHeight="1" s="48"/>
    <row r="930" ht="15.75" customHeight="1" s="48"/>
    <row r="931" ht="15.75" customHeight="1" s="48"/>
    <row r="932" ht="15.75" customHeight="1" s="48"/>
    <row r="933" ht="15.75" customHeight="1" s="48"/>
    <row r="934" ht="15.75" customHeight="1" s="48"/>
    <row r="935" ht="15.75" customHeight="1" s="48"/>
    <row r="936" ht="15.75" customHeight="1" s="48"/>
    <row r="937" ht="15.75" customHeight="1" s="48"/>
    <row r="938" ht="15.75" customHeight="1" s="48"/>
    <row r="939" ht="15.75" customHeight="1" s="48"/>
    <row r="940" ht="15.75" customHeight="1" s="48"/>
    <row r="941" ht="15.75" customHeight="1" s="48"/>
    <row r="942" ht="15.75" customHeight="1" s="48"/>
    <row r="943" ht="15.75" customHeight="1" s="48"/>
    <row r="944" ht="15.75" customHeight="1" s="48"/>
    <row r="945" ht="15.75" customHeight="1" s="48"/>
    <row r="946" ht="15.75" customHeight="1" s="48"/>
    <row r="947" ht="15.75" customHeight="1" s="48"/>
    <row r="948" ht="15.75" customHeight="1" s="48"/>
    <row r="949" ht="15.75" customHeight="1" s="48"/>
    <row r="950" ht="15.75" customHeight="1" s="48"/>
    <row r="951" ht="15.75" customHeight="1" s="48"/>
    <row r="952" ht="15.75" customHeight="1" s="48"/>
    <row r="953" ht="15.75" customHeight="1" s="48"/>
    <row r="954" ht="15.75" customHeight="1" s="48"/>
    <row r="955" ht="15.75" customHeight="1" s="48"/>
    <row r="956" ht="15.75" customHeight="1" s="48"/>
    <row r="957" ht="15.75" customHeight="1" s="48"/>
    <row r="958" ht="15.75" customHeight="1" s="48"/>
    <row r="959" ht="15.75" customHeight="1" s="48"/>
    <row r="960" ht="15.75" customHeight="1" s="48"/>
    <row r="961" ht="15.75" customHeight="1" s="48"/>
    <row r="962" ht="15.75" customHeight="1" s="48"/>
    <row r="963" ht="15.75" customHeight="1" s="48"/>
    <row r="964" ht="15.75" customHeight="1" s="48"/>
    <row r="965" ht="15.75" customHeight="1" s="48"/>
    <row r="966" ht="15.75" customHeight="1" s="48"/>
    <row r="967" ht="15.75" customHeight="1" s="48"/>
    <row r="968" ht="15.75" customHeight="1" s="48"/>
    <row r="969" ht="15.75" customHeight="1" s="48"/>
    <row r="970" ht="15.75" customHeight="1" s="48"/>
    <row r="971" ht="15.75" customHeight="1" s="48"/>
    <row r="972" ht="15.75" customHeight="1" s="48"/>
    <row r="973" ht="15.75" customHeight="1" s="48"/>
    <row r="974" ht="15.75" customHeight="1" s="48"/>
    <row r="975" ht="15.75" customHeight="1" s="48"/>
    <row r="976" ht="15.75" customHeight="1" s="48"/>
    <row r="977" ht="15.75" customHeight="1" s="48"/>
    <row r="978" ht="15.75" customHeight="1" s="48"/>
    <row r="979" ht="15.75" customHeight="1" s="48"/>
    <row r="980" ht="15.75" customHeight="1" s="48"/>
    <row r="981" ht="15.75" customHeight="1" s="48"/>
    <row r="982" ht="15.75" customHeight="1" s="48"/>
    <row r="983" ht="15.75" customHeight="1" s="48"/>
    <row r="984" ht="15.75" customHeight="1" s="48"/>
    <row r="985" ht="15.75" customHeight="1" s="48"/>
    <row r="986" ht="15.75" customHeight="1" s="48"/>
    <row r="987" ht="15.75" customHeight="1" s="48"/>
    <row r="988" ht="15.75" customHeight="1" s="48"/>
    <row r="989" ht="15.75" customHeight="1" s="48"/>
    <row r="990" ht="15.75" customHeight="1" s="48"/>
    <row r="991" ht="15.75" customHeight="1" s="48"/>
    <row r="992" ht="15.75" customHeight="1" s="48"/>
    <row r="993" ht="15.75" customHeight="1" s="48"/>
    <row r="994" ht="15.75" customHeight="1" s="48"/>
    <row r="995" ht="15.75" customHeight="1" s="48"/>
    <row r="996" ht="15.75" customHeight="1" s="48"/>
    <row r="997" ht="15.75" customHeight="1" s="48"/>
    <row r="998" ht="15.75" customHeight="1" s="48"/>
    <row r="999" ht="15.75" customHeight="1" s="48"/>
    <row r="1000" ht="15.75" customHeight="1" s="48"/>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L3" r:id="rId3"/>
    <hyperlink xmlns:r="http://schemas.openxmlformats.org/officeDocument/2006/relationships" ref="J4" r:id="rId4"/>
    <hyperlink xmlns:r="http://schemas.openxmlformats.org/officeDocument/2006/relationships" ref="L4" r:id="rId5"/>
    <hyperlink xmlns:r="http://schemas.openxmlformats.org/officeDocument/2006/relationships" ref="J5" r:id="rId6"/>
    <hyperlink xmlns:r="http://schemas.openxmlformats.org/officeDocument/2006/relationships" ref="L5" r:id="rId7"/>
    <hyperlink xmlns:r="http://schemas.openxmlformats.org/officeDocument/2006/relationships" ref="L6" r:id="rId8"/>
    <hyperlink xmlns:r="http://schemas.openxmlformats.org/officeDocument/2006/relationships" ref="J7" r:id="rId9"/>
    <hyperlink xmlns:r="http://schemas.openxmlformats.org/officeDocument/2006/relationships" ref="L7" r:id="rId10"/>
    <hyperlink xmlns:r="http://schemas.openxmlformats.org/officeDocument/2006/relationships" ref="J8" r:id="rId11"/>
    <hyperlink xmlns:r="http://schemas.openxmlformats.org/officeDocument/2006/relationships" ref="L8" r:id="rId12"/>
    <hyperlink xmlns:r="http://schemas.openxmlformats.org/officeDocument/2006/relationships" ref="J9" r:id="rId13"/>
    <hyperlink xmlns:r="http://schemas.openxmlformats.org/officeDocument/2006/relationships" ref="L9" r:id="rId14"/>
    <hyperlink xmlns:r="http://schemas.openxmlformats.org/officeDocument/2006/relationships" ref="J10" r:id="rId15"/>
    <hyperlink xmlns:r="http://schemas.openxmlformats.org/officeDocument/2006/relationships" ref="J11" r:id="rId16"/>
    <hyperlink xmlns:r="http://schemas.openxmlformats.org/officeDocument/2006/relationships" ref="L11" r:id="rId17"/>
    <hyperlink xmlns:r="http://schemas.openxmlformats.org/officeDocument/2006/relationships" ref="J12" r:id="rId18"/>
    <hyperlink xmlns:r="http://schemas.openxmlformats.org/officeDocument/2006/relationships" ref="L12" r:id="rId19"/>
    <hyperlink xmlns:r="http://schemas.openxmlformats.org/officeDocument/2006/relationships" ref="J13" r:id="rId20"/>
    <hyperlink xmlns:r="http://schemas.openxmlformats.org/officeDocument/2006/relationships" ref="L13" r:id="rId21"/>
    <hyperlink xmlns:r="http://schemas.openxmlformats.org/officeDocument/2006/relationships" ref="J14" r:id="rId22"/>
    <hyperlink xmlns:r="http://schemas.openxmlformats.org/officeDocument/2006/relationships" ref="J15" r:id="rId23"/>
    <hyperlink xmlns:r="http://schemas.openxmlformats.org/officeDocument/2006/relationships" ref="J16" r:id="rId24"/>
    <hyperlink xmlns:r="http://schemas.openxmlformats.org/officeDocument/2006/relationships" ref="L16" r:id="rId25"/>
    <hyperlink xmlns:r="http://schemas.openxmlformats.org/officeDocument/2006/relationships" ref="J17" r:id="rId26"/>
    <hyperlink xmlns:r="http://schemas.openxmlformats.org/officeDocument/2006/relationships" ref="J18" r:id="rId27"/>
    <hyperlink xmlns:r="http://schemas.openxmlformats.org/officeDocument/2006/relationships" ref="J19" r:id="rId28"/>
    <hyperlink xmlns:r="http://schemas.openxmlformats.org/officeDocument/2006/relationships" ref="L20" r:id="rId29"/>
    <hyperlink xmlns:r="http://schemas.openxmlformats.org/officeDocument/2006/relationships" ref="J21" r:id="rId30"/>
    <hyperlink xmlns:r="http://schemas.openxmlformats.org/officeDocument/2006/relationships" ref="L21" r:id="rId31"/>
    <hyperlink xmlns:r="http://schemas.openxmlformats.org/officeDocument/2006/relationships" ref="I23" r:id="rId32"/>
    <hyperlink xmlns:r="http://schemas.openxmlformats.org/officeDocument/2006/relationships" ref="I25" r:id="rId33"/>
    <hyperlink xmlns:r="http://schemas.openxmlformats.org/officeDocument/2006/relationships" ref="I26" r:id="rId34"/>
    <hyperlink xmlns:r="http://schemas.openxmlformats.org/officeDocument/2006/relationships" ref="M26" r:id="rId35"/>
    <hyperlink xmlns:r="http://schemas.openxmlformats.org/officeDocument/2006/relationships" ref="I27" r:id="rId36"/>
    <hyperlink xmlns:r="http://schemas.openxmlformats.org/officeDocument/2006/relationships" ref="M27" r:id="rId37"/>
    <hyperlink xmlns:r="http://schemas.openxmlformats.org/officeDocument/2006/relationships" ref="I28" r:id="rId38"/>
    <hyperlink xmlns:r="http://schemas.openxmlformats.org/officeDocument/2006/relationships" ref="I29" r:id="rId39"/>
    <hyperlink xmlns:r="http://schemas.openxmlformats.org/officeDocument/2006/relationships" ref="M29" r:id="rId40"/>
    <hyperlink xmlns:r="http://schemas.openxmlformats.org/officeDocument/2006/relationships" ref="I31" r:id="rId41"/>
    <hyperlink xmlns:r="http://schemas.openxmlformats.org/officeDocument/2006/relationships" ref="M31" r:id="rId42"/>
    <hyperlink xmlns:r="http://schemas.openxmlformats.org/officeDocument/2006/relationships" ref="I32" r:id="rId43"/>
    <hyperlink xmlns:r="http://schemas.openxmlformats.org/officeDocument/2006/relationships" ref="M32" r:id="rId44"/>
    <hyperlink xmlns:r="http://schemas.openxmlformats.org/officeDocument/2006/relationships" ref="I33" r:id="rId45"/>
    <hyperlink xmlns:r="http://schemas.openxmlformats.org/officeDocument/2006/relationships" ref="M33" r:id="rId46"/>
    <hyperlink xmlns:r="http://schemas.openxmlformats.org/officeDocument/2006/relationships" ref="I34" r:id="rId47"/>
    <hyperlink xmlns:r="http://schemas.openxmlformats.org/officeDocument/2006/relationships" ref="M34" r:id="rId48"/>
    <hyperlink xmlns:r="http://schemas.openxmlformats.org/officeDocument/2006/relationships" ref="I35" r:id="rId49"/>
    <hyperlink xmlns:r="http://schemas.openxmlformats.org/officeDocument/2006/relationships" ref="I36" r:id="rId50"/>
    <hyperlink xmlns:r="http://schemas.openxmlformats.org/officeDocument/2006/relationships" ref="M36" r:id="rId51"/>
    <hyperlink xmlns:r="http://schemas.openxmlformats.org/officeDocument/2006/relationships" ref="I37" r:id="rId52"/>
    <hyperlink xmlns:r="http://schemas.openxmlformats.org/officeDocument/2006/relationships" ref="I38" r:id="rId53"/>
    <hyperlink xmlns:r="http://schemas.openxmlformats.org/officeDocument/2006/relationships" ref="M38" r:id="rId54"/>
    <hyperlink xmlns:r="http://schemas.openxmlformats.org/officeDocument/2006/relationships" ref="I39" r:id="rId55"/>
    <hyperlink xmlns:r="http://schemas.openxmlformats.org/officeDocument/2006/relationships" ref="M39" r:id="rId56"/>
    <hyperlink xmlns:r="http://schemas.openxmlformats.org/officeDocument/2006/relationships" ref="I40" r:id="rId57"/>
    <hyperlink xmlns:r="http://schemas.openxmlformats.org/officeDocument/2006/relationships" ref="I41" r:id="rId58"/>
    <hyperlink xmlns:r="http://schemas.openxmlformats.org/officeDocument/2006/relationships" ref="M41" r:id="rId59"/>
    <hyperlink xmlns:r="http://schemas.openxmlformats.org/officeDocument/2006/relationships" ref="M42" r:id="rId60"/>
  </hyperlinks>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N42"/>
  <sheetViews>
    <sheetView workbookViewId="0">
      <selection activeCell="A1" sqref="A1"/>
    </sheetView>
  </sheetViews>
  <sheetFormatPr baseColWidth="8" defaultColWidth="12.63" defaultRowHeight="15" customHeight="1"/>
  <cols>
    <col width="12.63" customWidth="1" style="48" min="1" max="6"/>
  </cols>
  <sheetData>
    <row r="1" ht="15.75" customHeight="1" s="48">
      <c r="A1" s="1" t="inlineStr">
        <is>
          <t>OSrXXb</t>
        </is>
      </c>
      <c r="B1" s="1" t="inlineStr">
        <is>
          <t>yi40Hd</t>
        </is>
      </c>
      <c r="C1" s="1" t="inlineStr">
        <is>
          <t>RDApEe</t>
        </is>
      </c>
      <c r="D1" s="1" t="inlineStr">
        <is>
          <t>rllt__details 2</t>
        </is>
      </c>
      <c r="E1" s="1" t="inlineStr">
        <is>
          <t>rllt__details 3</t>
        </is>
      </c>
      <c r="F1" s="1" t="inlineStr">
        <is>
          <t>rllt__details 4</t>
        </is>
      </c>
      <c r="G1" s="1" t="inlineStr">
        <is>
          <t>uDyWh</t>
        </is>
      </c>
      <c r="H1" s="1" t="inlineStr">
        <is>
          <t>yYlJEf href</t>
        </is>
      </c>
      <c r="I1" s="1" t="inlineStr">
        <is>
          <t>QuU3Wb</t>
        </is>
      </c>
      <c r="J1" s="1" t="inlineStr">
        <is>
          <t>yYlJEf href 2</t>
        </is>
      </c>
      <c r="K1" s="1" t="inlineStr">
        <is>
          <t>QuU3Wb 2</t>
        </is>
      </c>
      <c r="L1" s="1" t="inlineStr">
        <is>
          <t>rllt__details 5</t>
        </is>
      </c>
      <c r="M1" s="1" t="inlineStr">
        <is>
          <t>pYH8Dd href</t>
        </is>
      </c>
      <c r="N1" s="1" t="inlineStr">
        <is>
          <t>QuU3Wb 3</t>
        </is>
      </c>
    </row>
    <row r="2" ht="15.75" customHeight="1" s="48">
      <c r="A2" s="1" t="inlineStr">
        <is>
          <t>Cabrillo Plumbing, Heating &amp; Air</t>
        </is>
      </c>
      <c r="B2" s="1" t="inlineStr">
        <is>
          <t>4,9</t>
        </is>
      </c>
      <c r="C2" s="1" t="n">
        <v>-967</v>
      </c>
      <c r="D2" s="1" t="inlineStr">
        <is>
          <t>70+ years in business · San Francisco, CA, United States</t>
        </is>
      </c>
      <c r="E2" s="1" t="inlineStr">
        <is>
          <t>· +1 415-360-0560</t>
        </is>
      </c>
      <c r="F2" s="1" t="inlineStr">
        <is>
          <t>Open 24 hours</t>
        </is>
      </c>
      <c r="G2" s="1" t="inlineStr">
        <is>
          <t>"Helped us get our furnace back up and running in just a few
hours."</t>
        </is>
      </c>
      <c r="H2" s="2" t="inlineStr">
        <is>
          <t>https://discovercabrillo.com/?utm_source=gmb&amp;utm_medium=organic</t>
        </is>
      </c>
      <c r="I2" s="1" t="inlineStr">
        <is>
          <t>Website</t>
        </is>
      </c>
      <c r="J2" s="2" t="inlineStr">
        <is>
          <t>https://www.google.com/maps/dir//Cabrillo+Plumbing,+Heating+%26+Air,+78+Dorman+Ave,+San+Francisco,+CA+94124,+United+States/data=!4m6!4m5!1m1!4e2!1m2!1m1!1s0x808f7e5577462b97:0x1902c1a611c068da?sa=X&amp;ved=1t:57443&amp;ictx=111</t>
        </is>
      </c>
      <c r="K2" s="1" t="inlineStr">
        <is>
          <t>Directions</t>
        </is>
      </c>
    </row>
    <row r="3" ht="15.75" customHeight="1" s="48">
      <c r="A3" s="1" t="inlineStr">
        <is>
          <t>San Francisco Expert Heating and Air</t>
        </is>
      </c>
      <c r="B3" s="1" t="inlineStr">
        <is>
          <t>4,9</t>
        </is>
      </c>
      <c r="C3" s="1" t="n">
        <v>-69</v>
      </c>
      <c r="D3" s="1" t="inlineStr">
        <is>
          <t>5+ years in business · San Francisco, CA, United States</t>
        </is>
      </c>
      <c r="E3" s="1" t="inlineStr">
        <is>
          <t>· +1 415-371-9413</t>
        </is>
      </c>
      <c r="F3" s="1" t="inlineStr">
        <is>
          <t>Open 24 hours</t>
        </is>
      </c>
      <c r="G3" s="1" t="inlineStr">
        <is>
          <t>"Sarah showed up right on time and worked tirelessly to fix our AC."</t>
        </is>
      </c>
      <c r="H3" s="2" t="inlineStr">
        <is>
          <t>http://sanfranciscoexprethvac.com/</t>
        </is>
      </c>
      <c r="I3" s="1" t="inlineStr">
        <is>
          <t>Website</t>
        </is>
      </c>
      <c r="J3" s="2" t="inlineStr">
        <is>
          <t>https://www.google.com/maps/dir//San+Francisco+Expert+Heating+and+Air,+1725+Montgomery+St,+San+Francisco,+CA+94111,+United+States/data=!4m6!4m5!1m1!4e2!1m2!1m1!1s0x880b6e5b82146e8d:0x39fcc6395b6fdc25?sa=X&amp;ved=1t:57443&amp;ictx=111</t>
        </is>
      </c>
      <c r="K3" s="1" t="inlineStr">
        <is>
          <t>Directions</t>
        </is>
      </c>
    </row>
    <row r="4" ht="15.75" customHeight="1" s="48">
      <c r="A4" s="1" t="inlineStr">
        <is>
          <t>Magic Plumbing Heating &amp; Cooling</t>
        </is>
      </c>
      <c r="B4" s="1" t="inlineStr">
        <is>
          <t>4,9</t>
        </is>
      </c>
      <c r="C4" s="1" t="inlineStr">
        <is>
          <t>(1,9K)</t>
        </is>
      </c>
      <c r="D4" s="1" t="inlineStr">
        <is>
          <t>45+ years in business · San Francisco, CA, United States</t>
        </is>
      </c>
      <c r="E4" s="1" t="inlineStr">
        <is>
          <t>· +1 415-446-1776</t>
        </is>
      </c>
      <c r="F4" s="1" t="inlineStr">
        <is>
          <t>Open</t>
        </is>
      </c>
      <c r="G4" s="1" t="inlineStr">
        <is>
          <t>"Chris fixed the problem quickly and they even cleaned up afterwards."</t>
        </is>
      </c>
      <c r="H4" s="2" t="inlineStr">
        <is>
          <t>https://www.magicplumbing.com/?utm_campaign=gmb&amp;utm_medium=organic&amp;utm_source=google</t>
        </is>
      </c>
      <c r="I4" s="1" t="inlineStr">
        <is>
          <t>Website</t>
        </is>
      </c>
      <c r="J4" s="2" t="inlineStr">
        <is>
          <t>https://www.google.com/maps/dir//Magic+Plumbing+Heating+%26+Cooling,+1455+Bancroft+Ave,+San+Francisco,+CA+94124,+United+States/data=!4m6!4m5!1m1!4e2!1m2!1m1!1s0x808f7f68355b576b:0xee89717dfae6beb6?sa=X&amp;ved=1t:57443&amp;ictx=111</t>
        </is>
      </c>
      <c r="K4" s="1" t="inlineStr">
        <is>
          <t>Directions</t>
        </is>
      </c>
      <c r="L4" s="1" t="inlineStr">
        <is>
          <t>· Closes 8 pm</t>
        </is>
      </c>
      <c r="M4" s="2" t="inlineStr">
        <is>
          <t>https://book.servicetitan.com/g087znkrpan2fy8cf92l22aj?hl=en-ZA&amp;gei=aziKafL8JcegseMP8PjKmAU&amp;rwg_token=AFd1xnEo8m4CBdDA7f9GpJctj2DyMpEzSXhFmlpPBGp2ouJrTFiyMpJAXsdhpYzb306DQIeP-qIL_CdZTFbxBEc9gyqSJjUGDQ%3D%3D&amp;source=cat</t>
        </is>
      </c>
      <c r="N4" s="1" t="inlineStr">
        <is>
          <t>Schedule</t>
        </is>
      </c>
    </row>
    <row r="5" ht="15.75" customHeight="1" s="48">
      <c r="A5" s="1" t="inlineStr">
        <is>
          <t>Next HVAC and Appliance repair</t>
        </is>
      </c>
      <c r="B5" s="1" t="inlineStr">
        <is>
          <t>4,8</t>
        </is>
      </c>
      <c r="C5" s="1" t="n">
        <v>-333</v>
      </c>
      <c r="D5" s="1" t="inlineStr">
        <is>
          <t>5+ years in business · San Francisco, CA, United States</t>
        </is>
      </c>
      <c r="E5" s="1" t="inlineStr">
        <is>
          <t>· +1 628-303-0533</t>
        </is>
      </c>
      <c r="F5" s="1" t="inlineStr">
        <is>
          <t>Open</t>
        </is>
      </c>
      <c r="G5" s="1" t="inlineStr">
        <is>
          <t>"He was neat and finished assessing and repairing in less than hour."</t>
        </is>
      </c>
      <c r="H5" s="2" t="inlineStr">
        <is>
          <t>https://nexthvacrepair.com/?utm_source=gmb&amp;utm_medium=site</t>
        </is>
      </c>
      <c r="I5" s="1" t="inlineStr">
        <is>
          <t>Website</t>
        </is>
      </c>
      <c r="J5" s="2" t="inlineStr">
        <is>
          <t>https://www.google.com/maps/dir//Next+HVAC+and+Appliance+repair,+1+Henry+Adams+St+unit+S324,+San+Francisco,+CA+94103,+United+States/data=!4m6!4m5!1m1!4e2!1m2!1m1!1s0x808f7f12039c22f3:0x8bfce4d0b3f222b5?sa=X&amp;ved=1t:57443&amp;ictx=111</t>
        </is>
      </c>
      <c r="K5" s="1" t="inlineStr">
        <is>
          <t>Directions</t>
        </is>
      </c>
      <c r="L5" s="1" t="inlineStr">
        <is>
          <t>· Closes 8 pm</t>
        </is>
      </c>
    </row>
    <row r="6" ht="15.75" customHeight="1" s="48">
      <c r="A6" s="1" t="inlineStr">
        <is>
          <t>Around The Clock HVAC</t>
        </is>
      </c>
      <c r="B6" s="1" t="inlineStr">
        <is>
          <t>5,0</t>
        </is>
      </c>
      <c r="C6" s="1" t="n">
        <v>-207</v>
      </c>
      <c r="D6" s="1" t="inlineStr">
        <is>
          <t>3+ years in business · San Francisco, CA, United States</t>
        </is>
      </c>
      <c r="E6" s="1" t="inlineStr">
        <is>
          <t>· +1 866-508-5674</t>
        </is>
      </c>
      <c r="F6" s="1" t="inlineStr">
        <is>
          <t>Open</t>
        </is>
      </c>
      <c r="G6" s="1" t="inlineStr">
        <is>
          <t>"Isaac came out same day and got it cleaned and back up and running fast."</t>
        </is>
      </c>
      <c r="H6" s="2" t="inlineStr">
        <is>
          <t>http://trueheatingandairconditioningservice.com/san-francisco</t>
        </is>
      </c>
      <c r="I6" s="1" t="inlineStr">
        <is>
          <t>Website</t>
        </is>
      </c>
      <c r="J6" s="2" t="inlineStr">
        <is>
          <t>https://www.google.com/maps/dir//Around+The+Clock+HVAC,+737+Lisbon+St,+San+Francisco,+CA+94112,+United+States/data=!4m6!4m5!1m1!4e2!1m2!1m1!1s0x808f7fa1f98b2413:0x65a8a90f55d682a1?sa=X&amp;ved=1t:57443&amp;ictx=111</t>
        </is>
      </c>
      <c r="K6" s="1" t="inlineStr">
        <is>
          <t>Directions</t>
        </is>
      </c>
      <c r="L6" s="1" t="inlineStr">
        <is>
          <t>· Closes 8 pm</t>
        </is>
      </c>
    </row>
    <row r="7" ht="15.75" customHeight="1" s="48">
      <c r="A7" s="1" t="inlineStr">
        <is>
          <t>Associated Heating of San Francisco</t>
        </is>
      </c>
      <c r="B7" s="1" t="inlineStr">
        <is>
          <t>4,8</t>
        </is>
      </c>
      <c r="C7" s="1" t="n">
        <v>-29</v>
      </c>
      <c r="D7" s="1" t="inlineStr">
        <is>
          <t>10+ years in business · San Francisco, CA, United States</t>
        </is>
      </c>
      <c r="E7" s="1" t="inlineStr">
        <is>
          <t>· +1 415-585-0145</t>
        </is>
      </c>
      <c r="F7" s="1" t="inlineStr">
        <is>
          <t>Open</t>
        </is>
      </c>
      <c r="G7" s="1" t="inlineStr">
        <is>
          <t>"Rich came out and recommended a great furnace: quiet, fast, super efficient."</t>
        </is>
      </c>
      <c r="H7" s="2" t="inlineStr">
        <is>
          <t>http://www.associatedheatingsf.com/</t>
        </is>
      </c>
      <c r="I7" s="1" t="inlineStr">
        <is>
          <t>Website</t>
        </is>
      </c>
      <c r="J7" s="2" t="inlineStr">
        <is>
          <t>https://www.google.com/maps/dir//Associated+Heating+of+San+Francisco,+5786+Mission+St,+San+Francisco,+CA+94112,+United+States/data=!4m6!4m5!1m1!4e2!1m2!1m1!1s0x808f7c21379b9f2b:0x4a8fa043b4d8786c?sa=X&amp;ved=1t:57443&amp;ictx=111</t>
        </is>
      </c>
      <c r="K7" s="1" t="inlineStr">
        <is>
          <t>Directions</t>
        </is>
      </c>
      <c r="L7" s="1" t="inlineStr">
        <is>
          <t>· Closes 4:30 pm</t>
        </is>
      </c>
    </row>
    <row r="8" ht="15.75" customHeight="1" s="48">
      <c r="A8" s="1" t="inlineStr">
        <is>
          <t>San Francisco Heating &amp; Air Conditioning Services</t>
        </is>
      </c>
      <c r="B8" s="1" t="inlineStr">
        <is>
          <t>4,8</t>
        </is>
      </c>
      <c r="C8" s="1" t="n">
        <v>-39</v>
      </c>
      <c r="D8" s="1" t="inlineStr">
        <is>
          <t>10+ years in business · San Francisco, CA, United States</t>
        </is>
      </c>
      <c r="E8" s="1" t="inlineStr">
        <is>
          <t>· +1 415-935-8149</t>
        </is>
      </c>
      <c r="F8" s="1" t="inlineStr">
        <is>
          <t>Open</t>
        </is>
      </c>
      <c r="G8" s="1" t="inlineStr">
        <is>
          <t>"Tech was EXCELLENT and able to perform the  with a very small bill."</t>
        </is>
      </c>
      <c r="J8" s="2" t="inlineStr">
        <is>
          <t>https://www.google.com/maps/dir//San+Francisco+Heating+%26+Air+Conditioning+Services,+690+Andover+St,+San+Francisco,+CA+94110,+United+States/data=!4m6!4m5!1m1!4e2!1m2!1m1!1s0x808f73ca5dd776eb:0x15b7bdb1e1490565?sa=X&amp;ved=1t:57443&amp;ictx=111</t>
        </is>
      </c>
      <c r="K8" s="1" t="inlineStr">
        <is>
          <t>Directions</t>
        </is>
      </c>
      <c r="L8" s="1" t="inlineStr">
        <is>
          <t>· Closes 8 pm</t>
        </is>
      </c>
    </row>
    <row r="9" ht="15.75" customHeight="1" s="48">
      <c r="A9" s="1" t="inlineStr">
        <is>
          <t>Inner Sunset Top Heating and Air</t>
        </is>
      </c>
      <c r="B9" s="1" t="inlineStr">
        <is>
          <t>5,0</t>
        </is>
      </c>
      <c r="C9" s="1" t="n">
        <v>-32</v>
      </c>
      <c r="D9" s="1" t="inlineStr">
        <is>
          <t>10+ years in business · San Francisco, CA, United States</t>
        </is>
      </c>
      <c r="E9" s="1" t="inlineStr">
        <is>
          <t>· +1 415-592-6313</t>
        </is>
      </c>
      <c r="F9" s="1" t="inlineStr">
        <is>
          <t>Open 24 hours</t>
        </is>
      </c>
      <c r="G9" s="1" t="inlineStr">
        <is>
          <t>"They were on time, did a thorough job, and got my AC working great again."</t>
        </is>
      </c>
      <c r="H9" s="2" t="inlineStr">
        <is>
          <t>http://innersunsettophvacrepair.com/</t>
        </is>
      </c>
      <c r="I9" s="1" t="inlineStr">
        <is>
          <t>Website</t>
        </is>
      </c>
      <c r="J9" s="2" t="inlineStr">
        <is>
          <t>https://www.google.com/maps/dir//Inner+Sunset+Top+Heating+and+Air,+2151+Irving+St,+San+Francisco,+CA+94122,+United+States/data=!4m6!4m5!1m1!4e2!1m2!1m1!1s0x880a0abea316e9bb:0x57c08b1efeaeeb83?sa=X&amp;ved=1t:57443&amp;ictx=111</t>
        </is>
      </c>
      <c r="K9" s="1" t="inlineStr">
        <is>
          <t>Directions</t>
        </is>
      </c>
    </row>
    <row r="10" ht="15.75" customHeight="1" s="48">
      <c r="A10" s="1" t="inlineStr">
        <is>
          <t>Heise's Plumbing</t>
        </is>
      </c>
      <c r="B10" s="1" t="inlineStr">
        <is>
          <t>4,9</t>
        </is>
      </c>
      <c r="C10" s="1" t="inlineStr">
        <is>
          <t>(1,5K)</t>
        </is>
      </c>
      <c r="D10" s="1" t="inlineStr">
        <is>
          <t>70+ years in business · San Francisco, CA, United States</t>
        </is>
      </c>
      <c r="E10" s="1" t="inlineStr">
        <is>
          <t>· +1 415-333-0704</t>
        </is>
      </c>
      <c r="F10" s="1" t="inlineStr">
        <is>
          <t>Open 24 hours</t>
        </is>
      </c>
      <c r="G10" s="1" t="inlineStr">
        <is>
          <t>"Diagnosed and repaired our Jennair Double Oven in no time at all fair price."</t>
        </is>
      </c>
      <c r="H10" s="2" t="inlineStr">
        <is>
          <t>https://www.heisesplumbing.com/</t>
        </is>
      </c>
      <c r="I10" s="1" t="inlineStr">
        <is>
          <t>Website</t>
        </is>
      </c>
      <c r="J10" s="2" t="inlineStr">
        <is>
          <t>https://www.google.com/maps/dir//Heise's+Plumbing,+260+Ocean+Ave,+San+Francisco,+CA+94112,+United+States/data=!4m6!4m5!1m1!4e2!1m2!1m1!1s0x808f7e81400d1745:0x66a11a8bd8b9cca?sa=X&amp;ved=1t:57443&amp;ictx=111</t>
        </is>
      </c>
      <c r="K10" s="1" t="inlineStr">
        <is>
          <t>Directions</t>
        </is>
      </c>
    </row>
    <row r="11" ht="15.75" customHeight="1" s="48">
      <c r="A11" s="1" t="inlineStr">
        <is>
          <t>Acosta Heating &amp; Sheet Metal</t>
        </is>
      </c>
      <c r="B11" s="1" t="inlineStr">
        <is>
          <t>5,0</t>
        </is>
      </c>
      <c r="C11" s="1" t="n">
        <v>-17</v>
      </c>
      <c r="D11" s="1" t="inlineStr">
        <is>
          <t>35+ years in business · San Francisco, CA, United States</t>
        </is>
      </c>
      <c r="E11" s="1" t="inlineStr">
        <is>
          <t>· +1 415-751-0732</t>
        </is>
      </c>
      <c r="F11" s="1" t="inlineStr">
        <is>
          <t>Open</t>
        </is>
      </c>
      <c r="G11" s="1" t="inlineStr">
        <is>
          <t>"Ron did a wonderful job of repairing my heat venting system."</t>
        </is>
      </c>
      <c r="H11" s="2" t="inlineStr">
        <is>
          <t>https://acostaheatingandair.com/</t>
        </is>
      </c>
      <c r="I11" s="1" t="inlineStr">
        <is>
          <t>Website</t>
        </is>
      </c>
      <c r="J11" s="2" t="inlineStr">
        <is>
          <t>https://www.google.com/maps/dir//Acosta+Heating+%26+Sheet+Metal,+1000+California+St,+San+Francisco,+CA+94108,+United+States/data=!4m6!4m5!1m1!4e2!1m2!1m1!1s0x8085876cc25d951f:0xb26a6093de2a9461?sa=X&amp;ved=1t:57443&amp;ictx=111</t>
        </is>
      </c>
      <c r="K11" s="1" t="inlineStr">
        <is>
          <t>Directions</t>
        </is>
      </c>
      <c r="L11" s="1" t="inlineStr">
        <is>
          <t>· Closes 10 pm</t>
        </is>
      </c>
    </row>
    <row r="12" ht="15.75" customHeight="1" s="48">
      <c r="A12" s="1" t="inlineStr">
        <is>
          <t>Air Flow Pros Heating and Air Conditioning</t>
        </is>
      </c>
      <c r="B12" s="1" t="inlineStr">
        <is>
          <t>4,7</t>
        </is>
      </c>
      <c r="C12" s="1" t="n">
        <v>-35</v>
      </c>
      <c r="D12" s="1" t="inlineStr">
        <is>
          <t>15+ years in business · San Francisco, CA, United States</t>
        </is>
      </c>
      <c r="E12" s="1" t="inlineStr">
        <is>
          <t>· +1 415-400-5140</t>
        </is>
      </c>
      <c r="F12" s="1" t="inlineStr">
        <is>
          <t>Open</t>
        </is>
      </c>
      <c r="G12" s="1" t="inlineStr">
        <is>
          <t>"Jose is an expert in  and handled my furnace replacement flawlessly."</t>
        </is>
      </c>
      <c r="H12" s="2" t="inlineStr">
        <is>
          <t>https://www.afpheating.com/?utm_source=google&amp;utm_medium=organic&amp;utm_campaign=gbp</t>
        </is>
      </c>
      <c r="I12" s="1" t="inlineStr">
        <is>
          <t>Website</t>
        </is>
      </c>
      <c r="J12" s="2" t="inlineStr">
        <is>
          <t>https://www.google.com/maps/dir//Air+Flow+Pros+Heating+and+Air+Conditioning,+2595+Mission+St+suite+202,+San+Francisco,+CA+94110,+United+States/data=!4m6!4m5!1m1!4e2!1m2!1m1!1s0x808f7f2c07ee2659:0xe571180f4fbdc29c?sa=X&amp;ved=1t:57443&amp;ictx=111</t>
        </is>
      </c>
      <c r="K12" s="1" t="inlineStr">
        <is>
          <t>Directions</t>
        </is>
      </c>
      <c r="L12" s="1" t="inlineStr">
        <is>
          <t>· Closes 5 pm</t>
        </is>
      </c>
    </row>
    <row r="13" ht="15.75" customHeight="1" s="48">
      <c r="A13" s="1" t="inlineStr">
        <is>
          <t>Flow Masters Plumbing, Drain and Water Heater</t>
        </is>
      </c>
      <c r="B13" s="1" t="inlineStr">
        <is>
          <t>5,0</t>
        </is>
      </c>
      <c r="C13" s="1" t="n">
        <v>-626</v>
      </c>
      <c r="D13" s="1" t="inlineStr">
        <is>
          <t>15+ years in business · Daly City, CA, United States</t>
        </is>
      </c>
      <c r="E13" s="1" t="inlineStr">
        <is>
          <t>· +1 415-237-1112</t>
        </is>
      </c>
      <c r="F13" s="1" t="inlineStr">
        <is>
          <t>Open</t>
        </is>
      </c>
      <c r="G13" s="1" t="inlineStr">
        <is>
          <t>"He came within just a couple of hours and quickly fixed the leak."</t>
        </is>
      </c>
      <c r="H13" s="2" t="inlineStr">
        <is>
          <t>https://flowmastersplumbing.com/?utm_source=organic&amp;utm_medium=gbp_listing</t>
        </is>
      </c>
      <c r="I13" s="1" t="inlineStr">
        <is>
          <t>Website</t>
        </is>
      </c>
      <c r="J13" s="2" t="inlineStr">
        <is>
          <t>https://www.google.com/maps/dir//Flow+Masters+Plumbing,+Drain+and+Water+Heater,+6169+Mission+St,+Daly+City,+CA+94014,+United+States/data=!4m6!4m5!1m1!4e2!1m2!1m1!1s0x8085873e77f6a45b:0x93150fe496745290?sa=X&amp;ved=1t:57443&amp;ictx=111</t>
        </is>
      </c>
      <c r="K13" s="1" t="inlineStr">
        <is>
          <t>Directions</t>
        </is>
      </c>
      <c r="L13" s="1" t="inlineStr">
        <is>
          <t>· Closes 6:30 pm</t>
        </is>
      </c>
    </row>
    <row r="14" ht="15.75" customHeight="1" s="48">
      <c r="A14" s="1" t="inlineStr">
        <is>
          <t>Jazz Heating, Air Conditioning and Plumbing</t>
        </is>
      </c>
      <c r="B14" s="1" t="inlineStr">
        <is>
          <t>4,9</t>
        </is>
      </c>
      <c r="C14" s="1" t="inlineStr">
        <is>
          <t>(3,4K)</t>
        </is>
      </c>
      <c r="D14" s="1" t="inlineStr">
        <is>
          <t>10+ years in business · Pleasanton, CA, United States</t>
        </is>
      </c>
      <c r="E14" s="1" t="inlineStr">
        <is>
          <t>· +1 925-400-9906</t>
        </is>
      </c>
      <c r="F14" s="1" t="inlineStr">
        <is>
          <t>Open 24 hours</t>
        </is>
      </c>
      <c r="G14" s="1" t="inlineStr">
        <is>
          <t>"Yuri showed up fast &amp; worked quickly to diagnose the A/C system."</t>
        </is>
      </c>
      <c r="H14" s="2" t="inlineStr">
        <is>
          <t>https://www.calljazz.com/?utm_source=google-gbp&amp;utm_medium=organic&amp;utm_campaign=*284*jazz-heating-ac-pleasanton</t>
        </is>
      </c>
      <c r="I14" s="1" t="inlineStr">
        <is>
          <t>Website</t>
        </is>
      </c>
      <c r="J14" s="2" t="inlineStr">
        <is>
          <t>https://www.google.com/maps/dir//Jazz+Heating,+Air+Conditioning+and+Plumbing,+2158+Rheem+Dr,+Pleasanton,+CA+94588,+United+States/data=!4m6!4m5!1m1!4e2!1m2!1m1!1s0x808fc9351c99f5fd:0xfba907936b3b3923?sa=X&amp;ved=1t:57443&amp;ictx=111</t>
        </is>
      </c>
      <c r="K14" s="1" t="inlineStr">
        <is>
          <t>Directions</t>
        </is>
      </c>
      <c r="M14" s="2" t="inlineStr">
        <is>
          <t>https://book.servicetitan.com/n7wlgkwhdjrx2mllgzkphlec?hl=en-ZA&amp;gei=aziKafL8JcegseMP8PjKmAU&amp;rwg_token=AFd1xnHwO0btMsTtCq1S_04JT-eip2Pfn6vSgZmndCmvSayOwKCfSm5-QVbVNyxvV4Ea23aiC3N3hfEFmLL9wGEPk7odPEnZFg%3D%3D&amp;source=cat</t>
        </is>
      </c>
      <c r="N14" s="1" t="inlineStr">
        <is>
          <t>Schedule</t>
        </is>
      </c>
    </row>
    <row r="15" ht="15.75" customHeight="1" s="48">
      <c r="A15" s="1" t="inlineStr">
        <is>
          <t>Duboce Triangle Air Conditioner Repair</t>
        </is>
      </c>
      <c r="B15" s="1" t="inlineStr">
        <is>
          <t>5,0</t>
        </is>
      </c>
      <c r="C15" s="1" t="n">
        <v>-53</v>
      </c>
      <c r="D15" s="1" t="inlineStr">
        <is>
          <t>7+ years in business</t>
        </is>
      </c>
      <c r="E15" s="1" t="inlineStr">
        <is>
          <t>· +1 415-527-5164</t>
        </is>
      </c>
      <c r="F15" s="1" t="inlineStr">
        <is>
          <t>Open</t>
        </is>
      </c>
      <c r="G15" s="1" t="inlineStr">
        <is>
          <t>"Their technician arrived promptly and diagnosed my unit immediately."</t>
        </is>
      </c>
      <c r="L15" s="1" t="inlineStr">
        <is>
          <t>· Closes 9 pm</t>
        </is>
      </c>
    </row>
    <row r="16" ht="15.75" customHeight="1" s="48">
      <c r="A16" s="1" t="inlineStr">
        <is>
          <t>Metro Heating Repair</t>
        </is>
      </c>
      <c r="B16" s="1" t="inlineStr">
        <is>
          <t>5,0</t>
        </is>
      </c>
      <c r="C16" s="1" t="n">
        <v>-40</v>
      </c>
      <c r="D16" s="1" t="inlineStr">
        <is>
          <t>5+ years in business</t>
        </is>
      </c>
      <c r="E16" s="1" t="inlineStr">
        <is>
          <t>· +1 415-329-7687</t>
        </is>
      </c>
      <c r="F16" s="1" t="inlineStr">
        <is>
          <t>Open</t>
        </is>
      </c>
      <c r="G16" s="1" t="inlineStr">
        <is>
          <t>"The  of my  furnace was completed with utmost quality."</t>
        </is>
      </c>
      <c r="H16" s="2" t="inlineStr">
        <is>
          <t>https://metroheatingrepair.com/San-Francisco</t>
        </is>
      </c>
      <c r="I16" s="1" t="inlineStr">
        <is>
          <t>Website</t>
        </is>
      </c>
      <c r="L16" s="1" t="inlineStr">
        <is>
          <t>· Closes 8 pm</t>
        </is>
      </c>
    </row>
    <row r="17" ht="15.75" customHeight="1" s="48">
      <c r="A17" s="1" t="inlineStr">
        <is>
          <t>Service Experts Heating &amp; Air Conditioning</t>
        </is>
      </c>
      <c r="B17" s="1" t="inlineStr">
        <is>
          <t>4,9</t>
        </is>
      </c>
      <c r="C17" s="1" t="n">
        <v>-920</v>
      </c>
      <c r="D17" s="1" t="inlineStr">
        <is>
          <t>50+ years in business · Livermore, CA, United States</t>
        </is>
      </c>
      <c r="E17" s="1" t="inlineStr">
        <is>
          <t>· +1 925-438-0864</t>
        </is>
      </c>
      <c r="F17" s="1" t="inlineStr">
        <is>
          <t>Open 24 hours</t>
        </is>
      </c>
      <c r="G17" s="1" t="inlineStr">
        <is>
          <t>"He repaired the failing wires and my AC system came back to life."</t>
        </is>
      </c>
      <c r="H17" s="2" t="inlineStr">
        <is>
          <t>https://www.serviceexperts.com/east-bay-ca/?&amp;utm_campaign=listing&amp;utm_medium=organic_search&amp;utm_source=gmb&amp;utm_content=brand</t>
        </is>
      </c>
      <c r="I17" s="1" t="inlineStr">
        <is>
          <t>Website</t>
        </is>
      </c>
      <c r="J17" s="2" t="inlineStr">
        <is>
          <t>https://www.google.com/maps/dir//Service+Experts+Heating+%26+Air+Conditioning,+4935+Southfront+Rd+A,+Livermore,+CA+94551,+United+States/data=!4m6!4m5!1m1!4e2!1m2!1m1!1s0x808fec1750438b87:0x2b2cb0add109a622?sa=X&amp;ved=1t:57443&amp;ictx=111</t>
        </is>
      </c>
      <c r="K17" s="1" t="inlineStr">
        <is>
          <t>Directions</t>
        </is>
      </c>
      <c r="M17" s="2" t="inlineStr">
        <is>
          <t>https://book.servicetitan.com/xpxd5osh163e55acw1o67oao?hl=en-ZA&amp;gei=aziKafL8JcegseMP8PjKmAU&amp;rwg_token=AFd1xnEJGH6rCgqoqYx-Bd33KGffdI9-mFZxU1GiFrGTM-wJ_wozy0EJFEjnH7GizczplqZumbRb6NHUYeOyuuTv57NjSta1yw%3D%3D&amp;source=cat</t>
        </is>
      </c>
      <c r="N17" s="1" t="inlineStr">
        <is>
          <t>Schedule</t>
        </is>
      </c>
    </row>
    <row r="18" ht="15.75" customHeight="1" s="48">
      <c r="A18" s="1" t="inlineStr">
        <is>
          <t>Mitch &amp; Sons HVAC</t>
        </is>
      </c>
      <c r="B18" s="1" t="inlineStr">
        <is>
          <t>4,9</t>
        </is>
      </c>
      <c r="C18" s="1" t="n">
        <v>-37</v>
      </c>
      <c r="D18" s="1" t="inlineStr">
        <is>
          <t>10+ years in business · San Francisco, CA, United States</t>
        </is>
      </c>
      <c r="E18" s="1" t="inlineStr">
        <is>
          <t>· +1 415-358-8923</t>
        </is>
      </c>
      <c r="F18" s="1" t="inlineStr">
        <is>
          <t>Open</t>
        </is>
      </c>
      <c r="G18" s="1" t="inlineStr">
        <is>
          <t>"They literally saved my system and repaired it the same day."</t>
        </is>
      </c>
      <c r="J18" s="2" t="inlineStr">
        <is>
          <t>https://www.google.com/maps/dir//Mitch+%26+Sons+HVAC,+27+Digby+St,+San+Francisco,+CA+94131,+United+States/data=!4m6!4m5!1m1!4e2!1m2!1m1!1s0x89e5d5a72449313f:0x7a2ca45b03b48ba1?sa=X&amp;ved=1t:57443&amp;ictx=111</t>
        </is>
      </c>
      <c r="K18" s="1" t="inlineStr">
        <is>
          <t>Directions</t>
        </is>
      </c>
      <c r="L18" s="1" t="inlineStr">
        <is>
          <t>· Closes 9 pm</t>
        </is>
      </c>
    </row>
    <row r="19" ht="15.75" customHeight="1" s="48">
      <c r="A19" s="1" t="inlineStr">
        <is>
          <t>Galaxy Heating &amp; Air Conditioning</t>
        </is>
      </c>
      <c r="B19" s="1" t="inlineStr">
        <is>
          <t>4,8</t>
        </is>
      </c>
      <c r="C19" s="1" t="n">
        <v>-370</v>
      </c>
      <c r="D19" s="1" t="inlineStr">
        <is>
          <t>15+ years in business · Pleasant Hill, CA, United States</t>
        </is>
      </c>
      <c r="E19" s="1" t="inlineStr">
        <is>
          <t>· +1 925-578-3379</t>
        </is>
      </c>
      <c r="F19" s="1" t="inlineStr">
        <is>
          <t>Open 24 hours</t>
        </is>
      </c>
      <c r="G19" s="1" t="inlineStr">
        <is>
          <t>"Eddie showed up on time and fixed the AC which broke after the heatwave"</t>
        </is>
      </c>
      <c r="H19" s="2" t="inlineStr">
        <is>
          <t>https://galaxyservices.com/</t>
        </is>
      </c>
      <c r="I19" s="1" t="inlineStr">
        <is>
          <t>Website</t>
        </is>
      </c>
      <c r="J19" s="2" t="inlineStr">
        <is>
          <t>https://www.google.com/maps/dir//Galaxy+Heating+%26+Air+Conditioning,+3301+Vincent+Rd,+Pleasant+Hill,+CA+94523,+United+States/data=!4m6!4m5!1m1!4e2!1m2!1m1!1s0x808561e421bac91f:0x7fdd983f1f92a11f?sa=X&amp;ved=1t:57443&amp;ictx=111</t>
        </is>
      </c>
      <c r="K19" s="1" t="inlineStr">
        <is>
          <t>Directions</t>
        </is>
      </c>
      <c r="M19" s="2" t="inlineStr">
        <is>
          <t>https://galaxyhvacrepair.com/?hl=en-ZA&amp;gei=aziKafL8JcegseMP8PjKmAU&amp;rwg_token=AFd1xnHS96JPYEHxI1sPLQq68r4OodKjXJe6Ad_VwZMg2TLOx9yFOxyLIM45vP0UrFvnkExrj2WvLGouFYdGSNUQ3iR2tceceg%3D%3D&amp;source=cat</t>
        </is>
      </c>
      <c r="N19" s="1" t="inlineStr">
        <is>
          <t>Schedule</t>
        </is>
      </c>
    </row>
    <row r="20" ht="15.75" customHeight="1" s="48">
      <c r="A20" s="1" t="inlineStr">
        <is>
          <t>Heating &amp; Air Conditioning San Francisco</t>
        </is>
      </c>
      <c r="B20" s="1" t="inlineStr">
        <is>
          <t>5,0</t>
        </is>
      </c>
      <c r="C20" s="1" t="n">
        <v>-7</v>
      </c>
      <c r="D20" s="1" t="inlineStr">
        <is>
          <t>5+ years in business · San Francisco, CA, United States</t>
        </is>
      </c>
      <c r="E20" s="1" t="inlineStr">
        <is>
          <t>· +1 415-942-9881</t>
        </is>
      </c>
      <c r="F20" s="1" t="inlineStr">
        <is>
          <t>Open</t>
        </is>
      </c>
      <c r="G20" s="1" t="inlineStr">
        <is>
          <t>"Their rapid, professional response was invaluable."</t>
        </is>
      </c>
      <c r="J20" s="2" t="inlineStr">
        <is>
          <t>https://www.google.com/maps/dir//Heating+%26+Air+Conditioning+San+Francisco,+1607+20th+St,+San+Francisco,+CA+94107,+United+States/data=!4m6!4m5!1m1!4e2!1m2!1m1!1s0x80858766d00fcad9:0xb647fda681300a3b?sa=X&amp;ved=1t:57443&amp;ictx=111</t>
        </is>
      </c>
      <c r="K20" s="1" t="inlineStr">
        <is>
          <t>Directions</t>
        </is>
      </c>
      <c r="L20" s="1" t="inlineStr">
        <is>
          <t>· Closes 8 pm</t>
        </is>
      </c>
    </row>
    <row r="21" ht="15.75" customHeight="1" s="48">
      <c r="A21" s="1" t="inlineStr">
        <is>
          <t>AC Heating and Cooling Service Inc.</t>
        </is>
      </c>
      <c r="B21" s="1" t="inlineStr">
        <is>
          <t>4,4</t>
        </is>
      </c>
      <c r="C21" s="1" t="n">
        <v>-17</v>
      </c>
      <c r="D21" s="1" t="inlineStr">
        <is>
          <t>50+ years in business · San Francisco, CA, United States</t>
        </is>
      </c>
      <c r="E21" s="1" t="inlineStr">
        <is>
          <t>· +1 415-333-9903</t>
        </is>
      </c>
      <c r="F21" s="1" t="inlineStr">
        <is>
          <t>Open</t>
        </is>
      </c>
      <c r="G21" s="1" t="inlineStr">
        <is>
          <t>"Kevin and his team did an excellent job replacing our furnaces."</t>
        </is>
      </c>
      <c r="H21" s="2" t="inlineStr">
        <is>
          <t>https://www.acheatingandair.net/</t>
        </is>
      </c>
      <c r="I21" s="1" t="inlineStr">
        <is>
          <t>Website</t>
        </is>
      </c>
      <c r="J21" s="2" t="inlineStr">
        <is>
          <t>https://www.google.com/maps/dir//AC+Heating+and+Cooling+Service+Inc.,+945+Taraval+St+Suite+177,+San+Francisco,+CA+94116,+United+States/data=!4m6!4m5!1m1!4e2!1m2!1m1!1s0x808f7c7955555555:0x45be2ce6adba99d5?sa=X&amp;ved=1t:57443&amp;ictx=111</t>
        </is>
      </c>
      <c r="K21" s="1" t="inlineStr">
        <is>
          <t>Directions</t>
        </is>
      </c>
      <c r="L21" s="1" t="inlineStr">
        <is>
          <t>· Closes 9 pm</t>
        </is>
      </c>
    </row>
    <row r="22" ht="15.75" customHeight="1" s="48">
      <c r="A22" s="1" t="inlineStr">
        <is>
          <t>OSrXXb</t>
        </is>
      </c>
      <c r="B22" s="1" t="inlineStr">
        <is>
          <t>rllt__details</t>
        </is>
      </c>
      <c r="C22" s="1" t="inlineStr">
        <is>
          <t>yi40Hd</t>
        </is>
      </c>
      <c r="D22" s="1" t="inlineStr">
        <is>
          <t>RDApEe</t>
        </is>
      </c>
      <c r="E22" s="1" t="inlineStr">
        <is>
          <t>rllt__details 2</t>
        </is>
      </c>
      <c r="F22" s="1" t="inlineStr">
        <is>
          <t>rllt__details 3</t>
        </is>
      </c>
      <c r="G22" s="1" t="inlineStr">
        <is>
          <t>rllt__details 4</t>
        </is>
      </c>
      <c r="H22" s="1" t="inlineStr">
        <is>
          <t>rllt__details 5</t>
        </is>
      </c>
      <c r="I22" s="1" t="inlineStr">
        <is>
          <t>uDyWh</t>
        </is>
      </c>
      <c r="J22" s="1" t="inlineStr">
        <is>
          <t>uDyWh 2</t>
        </is>
      </c>
      <c r="K22" s="1" t="inlineStr">
        <is>
          <t>yYlJEf href</t>
        </is>
      </c>
      <c r="L22" s="1" t="inlineStr">
        <is>
          <t>QuU3Wb</t>
        </is>
      </c>
      <c r="M22" s="1" t="inlineStr">
        <is>
          <t>yYlJEf href 2</t>
        </is>
      </c>
      <c r="N22" s="1" t="inlineStr">
        <is>
          <t>QuU3Wb 2</t>
        </is>
      </c>
    </row>
    <row r="23" ht="15.75" customHeight="1" s="48">
      <c r="A23" s="1" t="inlineStr">
        <is>
          <t>Best AC Service San Francisco</t>
        </is>
      </c>
      <c r="B23" s="1" t="inlineStr">
        <is>
          <t>· HVAC contractor</t>
        </is>
      </c>
      <c r="C23" s="1" t="inlineStr">
        <is>
          <t>5,0</t>
        </is>
      </c>
      <c r="D23" s="1" t="n">
        <v>-22</v>
      </c>
      <c r="E23" s="1" t="inlineStr">
        <is>
          <t>5+ years in business · San Francisco, CA, United States</t>
        </is>
      </c>
      <c r="F23" s="1" t="inlineStr">
        <is>
          <t>· +1 415-534-2170</t>
        </is>
      </c>
      <c r="G23" s="1" t="inlineStr">
        <is>
          <t>· Closes 8 pm</t>
        </is>
      </c>
      <c r="H23" s="1" t="inlineStr">
        <is>
          <t>Open</t>
        </is>
      </c>
      <c r="I23" s="1" t="inlineStr">
        <is>
          <t>"...  and cooling company provided us with exceptional ."</t>
        </is>
      </c>
      <c r="J23" s="1" t="inlineStr">
        <is>
          <t>heating</t>
        </is>
      </c>
      <c r="K23" s="2" t="inlineStr">
        <is>
          <t>https://www.google.com/maps/dir//Best+AC+Service+San+Francisco,+1687+Church+St,+San+Francisco,+CA+94131,+United+States/data=!4m6!4m5!1m1!4e2!1m2!1m1!1s0x808f7f0aa09aefcb:0xc6ae808e601aa593?sa=X&amp;ved=1t:57443&amp;ictx=111</t>
        </is>
      </c>
      <c r="L23" s="1" t="inlineStr">
        <is>
          <t>Directions</t>
        </is>
      </c>
    </row>
    <row r="24" ht="15.75" customHeight="1" s="48">
      <c r="A24" s="1" t="inlineStr">
        <is>
          <t>Same Day Air Conditioning &amp; Heating</t>
        </is>
      </c>
      <c r="B24" s="1" t="inlineStr">
        <is>
          <t>· HVAC contractor</t>
        </is>
      </c>
      <c r="C24" s="1" t="inlineStr">
        <is>
          <t>4,5</t>
        </is>
      </c>
      <c r="D24" s="1" t="n">
        <v>-700</v>
      </c>
      <c r="E24" s="1" t="inlineStr">
        <is>
          <t>Hayward, CA, United States</t>
        </is>
      </c>
      <c r="F24" s="1" t="inlineStr">
        <is>
          <t>· +1 510-887-5571</t>
        </is>
      </c>
      <c r="H24" s="1" t="inlineStr">
        <is>
          <t>Open 24 hours</t>
        </is>
      </c>
      <c r="I24" s="1" t="inlineStr">
        <is>
          <t>"Same day  came out, ordered the part, and my ac was fixed within a week."</t>
        </is>
      </c>
      <c r="J24" s="1" t="inlineStr">
        <is>
          <t>air</t>
        </is>
      </c>
      <c r="K24" s="2" t="inlineStr">
        <is>
          <t>https://www.google.com/maps/dir//Same+Day+Air+Conditioning+%26+Heating,+3334+Arden+Rd,+Hayward,+CA+94545,+United+States/data=!4m6!4m5!1m1!4e2!1m2!1m1!1s0x808f978a26b0c083:0xaf896d8f600b7065?sa=X&amp;ved=1t:57443&amp;ictx=111</t>
        </is>
      </c>
      <c r="L24" s="1" t="inlineStr">
        <is>
          <t>Directions</t>
        </is>
      </c>
      <c r="M24" s="2" t="inlineStr">
        <is>
          <t>https://samedayhvachayward.com/</t>
        </is>
      </c>
      <c r="N24" s="1" t="inlineStr">
        <is>
          <t>Website</t>
        </is>
      </c>
    </row>
    <row r="25" ht="15.75" customHeight="1" s="48">
      <c r="A25" s="1" t="inlineStr">
        <is>
          <t>Cole Valley Air Conditioner Repair</t>
        </is>
      </c>
      <c r="B25" s="1" t="inlineStr">
        <is>
          <t>· HVAC contractor</t>
        </is>
      </c>
      <c r="C25" s="1" t="inlineStr">
        <is>
          <t>4,8</t>
        </is>
      </c>
      <c r="D25" s="1" t="n">
        <v>-53</v>
      </c>
      <c r="E25" s="1" t="inlineStr">
        <is>
          <t>7+ years in business</t>
        </is>
      </c>
      <c r="F25" s="1" t="inlineStr">
        <is>
          <t>· +1 415-906-7519</t>
        </is>
      </c>
      <c r="G25" s="1" t="inlineStr">
        <is>
          <t>· Closes 8 pm</t>
        </is>
      </c>
      <c r="H25" s="1" t="inlineStr">
        <is>
          <t>Open</t>
        </is>
      </c>
      <c r="I25" s="1" t="inlineStr">
        <is>
          <t>"They made my furnace  look easy, and the results were exceptional."</t>
        </is>
      </c>
      <c r="J25" s="1" t="inlineStr">
        <is>
          <t>repair</t>
        </is>
      </c>
    </row>
    <row r="26" ht="15.75" customHeight="1" s="48">
      <c r="A26" s="1" t="inlineStr">
        <is>
          <t>Heating &amp; Cooling San Francisco</t>
        </is>
      </c>
      <c r="B26" s="1" t="inlineStr">
        <is>
          <t>· HVAC contractor</t>
        </is>
      </c>
      <c r="C26" s="1" t="inlineStr">
        <is>
          <t>4,7</t>
        </is>
      </c>
      <c r="D26" s="1" t="n">
        <v>-11</v>
      </c>
      <c r="E26" s="1" t="inlineStr">
        <is>
          <t>10+ years in business · San Francisco, CA, United States</t>
        </is>
      </c>
      <c r="F26" s="1" t="inlineStr">
        <is>
          <t>· +1 415-825-6649</t>
        </is>
      </c>
      <c r="G26" s="1" t="inlineStr">
        <is>
          <t>· Closes 8 pm</t>
        </is>
      </c>
      <c r="H26" s="1" t="inlineStr">
        <is>
          <t>Open</t>
        </is>
      </c>
      <c r="I26" s="1" t="inlineStr">
        <is>
          <t>"Really happy with the  from  &amp; Cooling San Francisco."</t>
        </is>
      </c>
      <c r="J26" s="1" t="inlineStr">
        <is>
          <t>service</t>
        </is>
      </c>
      <c r="K26" s="2" t="inlineStr">
        <is>
          <t>https://www.google.com/maps/dir//Heating+%26+Cooling+San+Francisco,+3105+16th+St,+San+Francisco,+CA+94103,+United+States/data=!4m6!4m5!1m1!4e2!1m2!1m1!1s0x808f7e1efa2e0ca5:0x68c4127be7a59c84?sa=X&amp;ved=1t:57443&amp;ictx=111</t>
        </is>
      </c>
      <c r="L26" s="1" t="inlineStr">
        <is>
          <t>Directions</t>
        </is>
      </c>
    </row>
    <row r="27" ht="15.75" customHeight="1" s="48">
      <c r="A27" s="1" t="inlineStr">
        <is>
          <t>Schmitt Heating &amp; Air Conditioning</t>
        </is>
      </c>
      <c r="B27" s="1" t="inlineStr">
        <is>
          <t>· HVAC contractor</t>
        </is>
      </c>
      <c r="C27" s="1" t="inlineStr">
        <is>
          <t>4,1</t>
        </is>
      </c>
      <c r="D27" s="1" t="n">
        <v>-50</v>
      </c>
      <c r="E27" s="1" t="inlineStr">
        <is>
          <t>150+ years in business · San Francisco, CA, United States</t>
        </is>
      </c>
      <c r="F27" s="1" t="inlineStr">
        <is>
          <t>· +1 415-522-0966</t>
        </is>
      </c>
      <c r="G27" s="1" t="inlineStr">
        <is>
          <t>· Closes 4:30 pm</t>
        </is>
      </c>
      <c r="H27" s="1" t="inlineStr">
        <is>
          <t>Open</t>
        </is>
      </c>
      <c r="I27" s="1" t="inlineStr">
        <is>
          <t>"Excellent  fixing Carrier furnace and replacing furnace filter."</t>
        </is>
      </c>
      <c r="J27" s="1" t="inlineStr">
        <is>
          <t>service</t>
        </is>
      </c>
      <c r="K27" s="2" t="inlineStr">
        <is>
          <t>https://www.google.com/maps/dir//Schmitt+Heating+%26+Air+Conditioning,+1580+Tennessee+St,+San+Francisco,+CA+94107,+United+States/data=!4m6!4m5!1m1!4e2!1m2!1m1!1s0x808f7e20fe5771cd:0x3859c666e34d78b3?sa=X&amp;ved=1t:57443&amp;ictx=111</t>
        </is>
      </c>
      <c r="L27" s="1" t="inlineStr">
        <is>
          <t>Directions</t>
        </is>
      </c>
      <c r="M27" s="2" t="inlineStr">
        <is>
          <t>https://www.schmittheating.com/</t>
        </is>
      </c>
      <c r="N27" s="1" t="inlineStr">
        <is>
          <t>Website</t>
        </is>
      </c>
    </row>
    <row r="28" ht="15.75" customHeight="1" s="48">
      <c r="A28" s="1" t="inlineStr">
        <is>
          <t>Neighborly HVAC The Castro</t>
        </is>
      </c>
      <c r="B28" s="1" t="inlineStr">
        <is>
          <t>· HVAC contractor</t>
        </is>
      </c>
      <c r="C28" s="1" t="inlineStr">
        <is>
          <t>5,0</t>
        </is>
      </c>
      <c r="D28" s="1" t="n">
        <v>-63</v>
      </c>
      <c r="E28" s="1" t="inlineStr">
        <is>
          <t>7+ years in business</t>
        </is>
      </c>
      <c r="F28" s="1" t="inlineStr">
        <is>
          <t>· +1 415-527-3249</t>
        </is>
      </c>
      <c r="G28" s="1" t="inlineStr">
        <is>
          <t>· Closes 9 pm</t>
        </is>
      </c>
      <c r="H28" s="1" t="inlineStr">
        <is>
          <t>Open</t>
        </is>
      </c>
      <c r="I28" s="1" t="inlineStr">
        <is>
          <t>"they came out, fixed the issue, and restored the cooling."</t>
        </is>
      </c>
    </row>
    <row r="29" ht="15.75" customHeight="1" s="48">
      <c r="A29" s="1" t="inlineStr">
        <is>
          <t>Heating &amp; Cooling San Francisco</t>
        </is>
      </c>
      <c r="B29" s="1" t="inlineStr">
        <is>
          <t>· HVAC contractor</t>
        </is>
      </c>
      <c r="C29" s="1" t="inlineStr">
        <is>
          <t>5,0</t>
        </is>
      </c>
      <c r="D29" s="1" t="n">
        <v>-7</v>
      </c>
      <c r="E29" s="1" t="inlineStr">
        <is>
          <t>San Francisco, CA, United States</t>
        </is>
      </c>
      <c r="F29" s="1" t="inlineStr">
        <is>
          <t>· +1 415-855-7160</t>
        </is>
      </c>
      <c r="G29" s="1" t="inlineStr">
        <is>
          <t>· Closes 8 pm</t>
        </is>
      </c>
      <c r="H29" s="1" t="inlineStr">
        <is>
          <t>Open</t>
        </is>
      </c>
      <c r="K29" s="2" t="inlineStr">
        <is>
          <t>https://www.google.com/maps/dir//Heating+%26+Cooling+San+Francisco,+2427+3rd+St,+San+Francisco,+CA+94107,+United+States/data=!4m6!4m5!1m1!4e2!1m2!1m1!1s0x808f7fb6b06b9599:0x1d940d86f97bf0c8?sa=X&amp;ved=1t:57443&amp;ictx=111</t>
        </is>
      </c>
      <c r="L29" s="1" t="inlineStr">
        <is>
          <t>Directions</t>
        </is>
      </c>
    </row>
    <row r="30" ht="15.75" customHeight="1" s="48">
      <c r="A30" s="1" t="inlineStr">
        <is>
          <t>Ironpoint Heating Service LLC.</t>
        </is>
      </c>
      <c r="B30" s="1" t="inlineStr">
        <is>
          <t>· Air conditioning repair service</t>
        </is>
      </c>
      <c r="C30" s="1" t="inlineStr">
        <is>
          <t>5,0</t>
        </is>
      </c>
      <c r="D30" s="1" t="n">
        <v>-2</v>
      </c>
      <c r="E30" s="1" t="inlineStr">
        <is>
          <t>San Francisco, CA, United States</t>
        </is>
      </c>
      <c r="F30" s="1" t="inlineStr">
        <is>
          <t>· +1 415-907-5080</t>
        </is>
      </c>
      <c r="G30" s="1" t="inlineStr">
        <is>
          <t>· Closes 5 pm</t>
        </is>
      </c>
      <c r="H30" s="1" t="inlineStr">
        <is>
          <t>Open</t>
        </is>
      </c>
      <c r="I30" s="1" t="inlineStr">
        <is>
          <t>"The technician arrived quickly and fixed a blown fuse."</t>
        </is>
      </c>
      <c r="K30" s="2" t="inlineStr">
        <is>
          <t>https://www.google.com/maps/dir//Ironpoint+Heating+Service+LLC.,+1050+O'Farrell+St,+San+Francisco,+CA+94109,+United+States/data=!4m6!4m5!1m1!4e2!1m2!1m1!1s0x808581000f0ed07d:0x457c74e5c067a50d?sa=X&amp;ved=1t:57443&amp;ictx=111</t>
        </is>
      </c>
      <c r="L30" s="1" t="inlineStr">
        <is>
          <t>Directions</t>
        </is>
      </c>
    </row>
    <row r="31" ht="15.75" customHeight="1" s="48">
      <c r="A31" s="1" t="inlineStr">
        <is>
          <t>Galaxy Heating &amp; Air Conditioning</t>
        </is>
      </c>
      <c r="B31" s="1" t="inlineStr">
        <is>
          <t>· HVAC contractor</t>
        </is>
      </c>
      <c r="C31" s="1" t="inlineStr">
        <is>
          <t>4,7</t>
        </is>
      </c>
      <c r="D31" s="1" t="n">
        <v>-25</v>
      </c>
      <c r="E31" s="1" t="inlineStr">
        <is>
          <t>5+ years in business · San Francisco, CA, United States</t>
        </is>
      </c>
      <c r="F31" s="1" t="inlineStr">
        <is>
          <t>· +1 415-918-6892</t>
        </is>
      </c>
      <c r="H31" s="1" t="inlineStr">
        <is>
          <t>Open 24 hours</t>
        </is>
      </c>
      <c r="I31" s="1" t="inlineStr">
        <is>
          <t>"Resolved our issue in no time and told us how to prevent in the future."</t>
        </is>
      </c>
      <c r="K31" s="2" t="inlineStr">
        <is>
          <t>https://www.google.com/maps/dir//Galaxy+Heating+%26+Air+Conditioning,+584+Castro+St,+San+Francisco,+CA+94114,+United+States/data=!4m6!4m5!1m1!4e2!1m2!1m1!1s0x808f7f102141c20b:0x5ca535550e8fbb70?sa=X&amp;ved=1t:57443&amp;ictx=111</t>
        </is>
      </c>
      <c r="L31" s="1" t="inlineStr">
        <is>
          <t>Directions</t>
        </is>
      </c>
      <c r="M31" s="2" t="inlineStr">
        <is>
          <t>https://galaxyservices.com/</t>
        </is>
      </c>
      <c r="N31" s="1" t="inlineStr">
        <is>
          <t>Website</t>
        </is>
      </c>
    </row>
    <row r="32" ht="15.75" customHeight="1" s="48">
      <c r="A32" s="1" t="inlineStr">
        <is>
          <t>AC Service Crew Oceanview</t>
        </is>
      </c>
      <c r="B32" s="1" t="inlineStr">
        <is>
          <t>· HVAC contractor</t>
        </is>
      </c>
      <c r="C32" s="1" t="inlineStr">
        <is>
          <t>5,0</t>
        </is>
      </c>
      <c r="D32" s="1" t="n">
        <v>-55</v>
      </c>
      <c r="E32" s="1" t="inlineStr">
        <is>
          <t>7+ years in business</t>
        </is>
      </c>
      <c r="F32" s="1" t="inlineStr">
        <is>
          <t>· +1 415-952-1167</t>
        </is>
      </c>
      <c r="G32" s="1" t="inlineStr">
        <is>
          <t>· Closes 10 pm</t>
        </is>
      </c>
      <c r="H32" s="1" t="inlineStr">
        <is>
          <t>Open</t>
        </is>
      </c>
      <c r="I32" s="1" t="inlineStr">
        <is>
          <t>"They fixed our AC quickly, and now it’s running perfectly again."</t>
        </is>
      </c>
    </row>
    <row r="33" ht="15.75" customHeight="1" s="48">
      <c r="A33" s="1" t="inlineStr">
        <is>
          <t>Atlas Heating "The Original Since 1908" (Atlas Trillo is NOT us, please don't be confused)</t>
        </is>
      </c>
      <c r="B33" s="1" t="inlineStr">
        <is>
          <t>· HVAC contractor</t>
        </is>
      </c>
      <c r="C33" s="1" t="inlineStr">
        <is>
          <t>4,8</t>
        </is>
      </c>
      <c r="D33" s="1" t="n">
        <v>-36</v>
      </c>
      <c r="E33" s="1" t="inlineStr">
        <is>
          <t>115+ years in business · South San Francisco, CA, United States</t>
        </is>
      </c>
      <c r="F33" s="1" t="inlineStr">
        <is>
          <t>· +1 650-873-7000</t>
        </is>
      </c>
      <c r="G33" s="1" t="inlineStr">
        <is>
          <t>· Closes 4 pm</t>
        </is>
      </c>
      <c r="H33" s="1" t="inlineStr">
        <is>
          <t>Open</t>
        </is>
      </c>
      <c r="I33" s="1" t="inlineStr">
        <is>
          <t>"The technician, Josh, was on time, knowledgable and efficient."</t>
        </is>
      </c>
      <c r="K33" s="2" t="inlineStr">
        <is>
          <t>https://www.google.com/maps/dir//Atlas+Heating+%22The+Original+Since+1908%22+(Atlas+Trillo+is+NOT+us,+please+don't+be+confused),+407+Cabot+Rd,+South+San+Francisco,+CA+94080,+United+States/data=!4m6!4m5!1m1!4e2!1m2!1m1!1s0x808f785204516ecb:0xbecd7fba3a240a4d?sa=X&amp;ved=1t:57443&amp;ictx=111</t>
        </is>
      </c>
      <c r="L33" s="1" t="inlineStr">
        <is>
          <t>Directions</t>
        </is>
      </c>
      <c r="M33" s="2" t="inlineStr">
        <is>
          <t>http://atlasheat.com/</t>
        </is>
      </c>
      <c r="N33" s="1" t="inlineStr">
        <is>
          <t>Website</t>
        </is>
      </c>
    </row>
    <row r="34" ht="15.75" customHeight="1" s="48">
      <c r="A34" s="1" t="inlineStr">
        <is>
          <t>Heating &amp; Air Conditioning San Francisco</t>
        </is>
      </c>
      <c r="B34" s="1" t="inlineStr">
        <is>
          <t>· HVAC contractor</t>
        </is>
      </c>
      <c r="C34" s="1" t="inlineStr">
        <is>
          <t>4,7</t>
        </is>
      </c>
      <c r="D34" s="1" t="n">
        <v>-14</v>
      </c>
      <c r="E34" s="1" t="inlineStr">
        <is>
          <t>10+ years in business · San Francisco, CA, United States</t>
        </is>
      </c>
      <c r="F34" s="1" t="inlineStr">
        <is>
          <t>· +1 415-825-6648</t>
        </is>
      </c>
      <c r="G34" s="1" t="inlineStr">
        <is>
          <t>· Closes 8 pm</t>
        </is>
      </c>
      <c r="H34" s="1" t="inlineStr">
        <is>
          <t>Open</t>
        </is>
      </c>
      <c r="I34" s="1" t="inlineStr">
        <is>
          <t>"they came quickly to asses my broken furnace and propose a solution."</t>
        </is>
      </c>
      <c r="K34" s="2" t="inlineStr">
        <is>
          <t>https://www.google.com/maps/dir//Heating+%26+Air+Conditioning+San+Francisco,+600+Castro+St,+San+Francisco,+CA+94114,+United+States/data=!4m6!4m5!1m1!4e2!1m2!1m1!1s0x808f70be8a75146f:0x3349af2b40804121?sa=X&amp;ved=1t:57443&amp;ictx=111</t>
        </is>
      </c>
      <c r="L34" s="1" t="inlineStr">
        <is>
          <t>Directions</t>
        </is>
      </c>
    </row>
    <row r="35" ht="15.75" customHeight="1" s="48">
      <c r="A35" s="1" t="inlineStr">
        <is>
          <t>Apollo Heating &amp; Ventilating</t>
        </is>
      </c>
      <c r="B35" s="1" t="inlineStr">
        <is>
          <t>· Air conditioning contractor</t>
        </is>
      </c>
      <c r="C35" s="1" t="inlineStr">
        <is>
          <t>5,0</t>
        </is>
      </c>
      <c r="D35" s="1" t="n">
        <v>-15</v>
      </c>
      <c r="E35" s="1" t="inlineStr">
        <is>
          <t>San Francisco, CA, United States</t>
        </is>
      </c>
      <c r="F35" s="1" t="inlineStr">
        <is>
          <t>· +1 415-585-3635</t>
        </is>
      </c>
      <c r="G35" s="1" t="inlineStr">
        <is>
          <t>· Closes 5 pm</t>
        </is>
      </c>
      <c r="H35" s="1" t="inlineStr">
        <is>
          <t>Open</t>
        </is>
      </c>
      <c r="I35" s="1" t="inlineStr">
        <is>
          <t>"Chris provided a few options for the new thermostat, with a fair price."</t>
        </is>
      </c>
      <c r="K35" s="2" t="inlineStr">
        <is>
          <t>https://www.google.com/maps/dir//Apollo+Heating+%26+Ventilating,+1005+Geneva+Ave,+San+Francisco,+CA+94112,+United+States/data=!4m6!4m5!1m1!4e2!1m2!1m1!1s0x808f7e9ba6598e95:0x4e05eb9aa6c9c78e?sa=X&amp;ved=1t:57443&amp;ictx=111</t>
        </is>
      </c>
      <c r="L35" s="1" t="inlineStr">
        <is>
          <t>Directions</t>
        </is>
      </c>
    </row>
    <row r="36" ht="15.75" customHeight="1" s="48">
      <c r="A36" s="1" t="inlineStr">
        <is>
          <t>Fuse HVAC &amp; Electrical Services Burlingame</t>
        </is>
      </c>
      <c r="B36" s="1" t="inlineStr">
        <is>
          <t>· HVAC contractor</t>
        </is>
      </c>
      <c r="C36" s="1" t="inlineStr">
        <is>
          <t>5,0</t>
        </is>
      </c>
      <c r="D36" s="1" t="n">
        <v>-25</v>
      </c>
      <c r="E36" s="1" t="inlineStr">
        <is>
          <t>3+ years in business · Burlingame, CA, United States</t>
        </is>
      </c>
      <c r="F36" s="1" t="inlineStr">
        <is>
          <t>· +1 510-990-9889</t>
        </is>
      </c>
      <c r="G36" s="1" t="inlineStr">
        <is>
          <t>· Closes 10 pm</t>
        </is>
      </c>
      <c r="H36" s="1" t="inlineStr">
        <is>
          <t>Open</t>
        </is>
      </c>
      <c r="I36" s="1" t="inlineStr">
        <is>
          <t>"Stan our technician was extremely helpful, knowledgeable and courteous."</t>
        </is>
      </c>
      <c r="K36" s="2" t="inlineStr">
        <is>
          <t>https://www.google.com/maps/dir//Fuse+HVAC+%26+Electrical+Services+Burlingame,+533+Airport+Blvd.,+Burlingame,+CA+94010,+United+States/data=!4m6!4m5!1m1!4e2!1m2!1m1!1s0x8ee018ac9b51eac7:0x50143967bcb56642?sa=X&amp;ved=1t:57443&amp;ictx=111</t>
        </is>
      </c>
      <c r="L36" s="1" t="inlineStr">
        <is>
          <t>Directions</t>
        </is>
      </c>
      <c r="M36" s="2" t="inlineStr">
        <is>
          <t>https://fuserepairsf.com/</t>
        </is>
      </c>
      <c r="N36" s="1" t="inlineStr">
        <is>
          <t>Website</t>
        </is>
      </c>
    </row>
    <row r="37" ht="15.75" customHeight="1" s="48">
      <c r="A37" s="1" t="inlineStr">
        <is>
          <t>Castro Air Conditioner Repair</t>
        </is>
      </c>
      <c r="B37" s="1" t="inlineStr">
        <is>
          <t>· HVAC contractor</t>
        </is>
      </c>
      <c r="C37" s="1" t="inlineStr">
        <is>
          <t>5,0</t>
        </is>
      </c>
      <c r="D37" s="1" t="n">
        <v>-15</v>
      </c>
      <c r="E37" s="1" t="inlineStr">
        <is>
          <t>50+ years in business</t>
        </is>
      </c>
      <c r="F37" s="1" t="inlineStr">
        <is>
          <t>· +1 415-582-6736</t>
        </is>
      </c>
      <c r="G37" s="1" t="inlineStr">
        <is>
          <t>· Closes 9 pm</t>
        </is>
      </c>
      <c r="H37" s="1" t="inlineStr">
        <is>
          <t>Open</t>
        </is>
      </c>
      <c r="I37" s="1" t="inlineStr">
        <is>
          <t>"Their guy took the time to listen patiently to my problem and fixed it."</t>
        </is>
      </c>
    </row>
    <row r="38" ht="15.75" customHeight="1" s="48">
      <c r="A38" s="1" t="inlineStr">
        <is>
          <t>HVAC Expert Inc Twin Peaks</t>
        </is>
      </c>
      <c r="B38" s="1" t="inlineStr">
        <is>
          <t>· HVAC contractor</t>
        </is>
      </c>
      <c r="C38" s="1" t="inlineStr">
        <is>
          <t>5,0</t>
        </is>
      </c>
      <c r="D38" s="1" t="n">
        <v>-55</v>
      </c>
      <c r="E38" s="1" t="inlineStr">
        <is>
          <t>7+ years in business</t>
        </is>
      </c>
      <c r="F38" s="1" t="inlineStr">
        <is>
          <t>· +1 415-570-6422</t>
        </is>
      </c>
      <c r="G38" s="1" t="inlineStr">
        <is>
          <t>· Closes 6 pm</t>
        </is>
      </c>
      <c r="H38" s="1" t="inlineStr">
        <is>
          <t>Open</t>
        </is>
      </c>
      <c r="I38" s="1" t="inlineStr">
        <is>
          <t>"He addressed the issue with my AC efficiently and exceeded my expectations."</t>
        </is>
      </c>
      <c r="M38" s="2" t="inlineStr">
        <is>
          <t>http://hvac-expert-inc.com/twin-peaks/</t>
        </is>
      </c>
      <c r="N38" s="1" t="inlineStr">
        <is>
          <t>Website</t>
        </is>
      </c>
    </row>
    <row r="39" ht="15.75" customHeight="1" s="48">
      <c r="A39" s="1" t="inlineStr">
        <is>
          <t>Heating &amp; Cooling San Francisco</t>
        </is>
      </c>
      <c r="B39" s="1" t="inlineStr">
        <is>
          <t>· HVAC contractor</t>
        </is>
      </c>
      <c r="C39" s="1" t="inlineStr">
        <is>
          <t>5,0</t>
        </is>
      </c>
      <c r="D39" s="1" t="n">
        <v>-5</v>
      </c>
      <c r="E39" s="1" t="inlineStr">
        <is>
          <t>10+ years in business · San Francisco, CA, United States</t>
        </is>
      </c>
      <c r="F39" s="1" t="inlineStr">
        <is>
          <t>· +1 415-825-6828</t>
        </is>
      </c>
      <c r="G39" s="1" t="inlineStr">
        <is>
          <t>· Closes 8 pm</t>
        </is>
      </c>
      <c r="H39" s="1" t="inlineStr">
        <is>
          <t>Open</t>
        </is>
      </c>
      <c r="I39" s="1" t="inlineStr">
        <is>
          <t>"The technician even cleaned the work area before leaving."</t>
        </is>
      </c>
      <c r="K39" s="2" t="inlineStr">
        <is>
          <t>https://www.google.com/maps/dir//Heating+%26+Cooling+San+Francisco,+3497+Mission+St,+San+Francisco,+CA+94110,+United+States/data=!4m6!4m5!1m1!4e2!1m2!1m1!1s0x808f79a904aa940b:0x755fb4c293c47154?sa=X&amp;ved=1t:57443&amp;ictx=111</t>
        </is>
      </c>
      <c r="L39" s="1" t="inlineStr">
        <is>
          <t>Directions</t>
        </is>
      </c>
    </row>
    <row r="40" ht="15.75" customHeight="1" s="48">
      <c r="A40" s="1" t="inlineStr">
        <is>
          <t>San Francisco Heating and Air Conditioning Inc..</t>
        </is>
      </c>
      <c r="B40" s="1" t="inlineStr">
        <is>
          <t>· HVAC contractor</t>
        </is>
      </c>
      <c r="C40" s="1" t="inlineStr">
        <is>
          <t>5,0</t>
        </is>
      </c>
      <c r="D40" s="1" t="n">
        <v>-1</v>
      </c>
      <c r="E40" s="1" t="inlineStr">
        <is>
          <t>10+ years in business · San Francisco, CA, United States</t>
        </is>
      </c>
      <c r="F40" s="1" t="inlineStr">
        <is>
          <t>· +1 628-229-3860</t>
        </is>
      </c>
      <c r="G40" s="1" t="inlineStr">
        <is>
          <t>· Closes 6 pm</t>
        </is>
      </c>
      <c r="H40" s="1" t="inlineStr">
        <is>
          <t>Open</t>
        </is>
      </c>
      <c r="I40" s="1" t="inlineStr">
        <is>
          <t>"He fixed the problem quickly and explained everything in detail."</t>
        </is>
      </c>
      <c r="K40" s="2" t="inlineStr">
        <is>
          <t>https://www.google.com/maps/dir//San+Francisco+Heating+and+Air+Conditioning+Inc..,+148+Townsend+St,+San+Francisco,+CA+94107,+United+States/data=!4m6!4m5!1m1!4e2!1m2!1m1!1s0x808f7e28d7c95c8d:0x6c42283e8ed016f6?sa=X&amp;ved=1t:57443&amp;ictx=111</t>
        </is>
      </c>
      <c r="L40" s="1" t="inlineStr">
        <is>
          <t>Directions</t>
        </is>
      </c>
    </row>
    <row r="41" ht="15.75" customHeight="1" s="48">
      <c r="A41" s="1" t="inlineStr">
        <is>
          <t>Mission Terrace AC Repair</t>
        </is>
      </c>
      <c r="B41" s="1" t="inlineStr">
        <is>
          <t>· HVAC contractor</t>
        </is>
      </c>
      <c r="C41" s="1" t="inlineStr">
        <is>
          <t>5,0</t>
        </is>
      </c>
      <c r="D41" s="1" t="n">
        <v>-10</v>
      </c>
      <c r="E41" s="1" t="inlineStr">
        <is>
          <t>7+ years in business</t>
        </is>
      </c>
      <c r="F41" s="1" t="inlineStr">
        <is>
          <t>· +1 415-742-2875</t>
        </is>
      </c>
      <c r="G41" s="1" t="inlineStr">
        <is>
          <t>· Closes 8 pm</t>
        </is>
      </c>
      <c r="H41" s="1" t="inlineStr">
        <is>
          <t>Open</t>
        </is>
      </c>
      <c r="I41" s="1" t="inlineStr">
        <is>
          <t>"He was very detailed and keen on fixing my AC not starting up."</t>
        </is>
      </c>
    </row>
    <row r="42" ht="15.75" customHeight="1" s="48">
      <c r="A42" s="1" t="inlineStr">
        <is>
          <t>San Francisco Heating And Air Conditioning</t>
        </is>
      </c>
      <c r="B42" s="1" t="inlineStr">
        <is>
          <t>· HVAC contractor</t>
        </is>
      </c>
      <c r="C42" s="1" t="inlineStr">
        <is>
          <t>4,6</t>
        </is>
      </c>
      <c r="D42" s="1" t="n">
        <v>-5</v>
      </c>
      <c r="E42" s="1" t="inlineStr">
        <is>
          <t>10+ years in business · San Francisco, CA, United States</t>
        </is>
      </c>
      <c r="F42" s="1" t="inlineStr">
        <is>
          <t>· +1 628-287-1383</t>
        </is>
      </c>
      <c r="G42" s="1" t="inlineStr">
        <is>
          <t>· Closes 8 pm</t>
        </is>
      </c>
      <c r="H42" s="1" t="inlineStr">
        <is>
          <t>Open</t>
        </is>
      </c>
      <c r="K42" s="2" t="inlineStr">
        <is>
          <t>https://www.google.com/maps/dir//San+Francisco+Heating+And+Air+Conditioning,+4440-4442+Mission+St,+San+Francisco,+CA+94112,+United+States/data=!4m6!4m5!1m1!4e2!1m2!1m1!1s0x808fccdb8415c3bf:0x819216a8f4858f4a?sa=X&amp;ved=1t:57443&amp;ictx=111</t>
        </is>
      </c>
      <c r="L42" s="1" t="inlineStr">
        <is>
          <t>Directions</t>
        </is>
      </c>
    </row>
    <row r="43" ht="15.75" customHeight="1" s="48"/>
    <row r="44" ht="15.75" customHeight="1" s="48"/>
    <row r="45" ht="15.75" customHeight="1" s="48"/>
    <row r="46" ht="15.75" customHeight="1" s="48"/>
    <row r="47" ht="15.75" customHeight="1" s="48"/>
    <row r="48" ht="15.75" customHeight="1" s="48"/>
    <row r="49" ht="15.75" customHeight="1" s="48"/>
    <row r="50" ht="15.75" customHeight="1" s="48"/>
    <row r="51" ht="15.75" customHeight="1" s="48"/>
    <row r="52" ht="15.75" customHeight="1" s="48"/>
    <row r="53" ht="15.75" customHeight="1" s="48"/>
    <row r="54" ht="15.75" customHeight="1" s="48"/>
    <row r="55" ht="15.75" customHeight="1" s="48"/>
    <row r="56" ht="15.75" customHeight="1" s="48"/>
    <row r="57" ht="15.75" customHeight="1" s="48"/>
    <row r="58" ht="15.75" customHeight="1" s="48"/>
    <row r="59" ht="15.75" customHeight="1" s="48"/>
    <row r="60" ht="15.75" customHeight="1" s="48"/>
    <row r="61" ht="15.75" customHeight="1" s="48"/>
    <row r="62" ht="15.75" customHeight="1" s="48"/>
    <row r="63" ht="15.75" customHeight="1" s="48"/>
    <row r="64" ht="15.75" customHeight="1" s="48"/>
    <row r="65" ht="15.75" customHeight="1" s="48"/>
    <row r="66" ht="15.75" customHeight="1" s="48"/>
    <row r="67" ht="15.75" customHeight="1" s="48"/>
    <row r="68" ht="15.75" customHeight="1" s="48"/>
    <row r="69" ht="15.75" customHeight="1" s="48"/>
    <row r="70" ht="15.75" customHeight="1" s="48"/>
    <row r="71" ht="15.75" customHeight="1" s="48"/>
    <row r="72" ht="15.75" customHeight="1" s="48"/>
    <row r="73" ht="15.75" customHeight="1" s="48"/>
    <row r="74" ht="15.75" customHeight="1" s="48"/>
    <row r="75" ht="15.75" customHeight="1" s="48"/>
    <row r="76" ht="15.75" customHeight="1" s="48"/>
    <row r="77" ht="15.75" customHeight="1" s="48"/>
    <row r="78" ht="15.75" customHeight="1" s="48"/>
    <row r="79" ht="15.75" customHeight="1" s="48"/>
    <row r="80" ht="15.75" customHeight="1" s="48"/>
    <row r="81" ht="15.75" customHeight="1" s="48"/>
    <row r="82" ht="15.75" customHeight="1" s="48"/>
    <row r="83" ht="15.75" customHeight="1" s="48"/>
    <row r="84" ht="15.75" customHeight="1" s="48"/>
    <row r="85" ht="15.75" customHeight="1" s="48"/>
    <row r="86" ht="15.75" customHeight="1" s="48"/>
    <row r="87" ht="15.75" customHeight="1" s="48"/>
    <row r="88" ht="15.75" customHeight="1" s="48"/>
    <row r="89" ht="15.75" customHeight="1" s="48"/>
    <row r="90" ht="15.75" customHeight="1" s="48"/>
    <row r="91" ht="15.75" customHeight="1" s="48"/>
    <row r="92" ht="15.75" customHeight="1" s="48"/>
    <row r="93" ht="15.75" customHeight="1" s="48"/>
    <row r="94" ht="15.75" customHeight="1" s="48"/>
    <row r="95" ht="15.75" customHeight="1" s="48"/>
    <row r="96" ht="15.75" customHeight="1" s="48"/>
    <row r="97" ht="15.75" customHeight="1" s="48"/>
    <row r="98" ht="15.75" customHeight="1" s="48"/>
    <row r="99" ht="15.75" customHeight="1" s="48"/>
    <row r="100" ht="15.75" customHeight="1" s="48"/>
    <row r="101" ht="15.75" customHeight="1" s="48"/>
    <row r="102" ht="15.75" customHeight="1" s="48"/>
    <row r="103" ht="15.75" customHeight="1" s="48"/>
    <row r="104" ht="15.75" customHeight="1" s="48"/>
    <row r="105" ht="15.75" customHeight="1" s="48"/>
    <row r="106" ht="15.75" customHeight="1" s="48"/>
    <row r="107" ht="15.75" customHeight="1" s="48"/>
    <row r="108" ht="15.75" customHeight="1" s="48"/>
    <row r="109" ht="15.75" customHeight="1" s="48"/>
    <row r="110" ht="15.75" customHeight="1" s="48"/>
    <row r="111" ht="15.75" customHeight="1" s="48"/>
    <row r="112" ht="15.75" customHeight="1" s="48"/>
    <row r="113" ht="15.75" customHeight="1" s="48"/>
    <row r="114" ht="15.75" customHeight="1" s="48"/>
    <row r="115" ht="15.75" customHeight="1" s="48"/>
    <row r="116" ht="15.75" customHeight="1" s="48"/>
    <row r="117" ht="15.75" customHeight="1" s="48"/>
    <row r="118" ht="15.75" customHeight="1" s="48"/>
    <row r="119" ht="15.75" customHeight="1" s="48"/>
    <row r="120" ht="15.75" customHeight="1" s="48"/>
    <row r="121" ht="15.75" customHeight="1" s="48"/>
    <row r="122" ht="15.75" customHeight="1" s="48"/>
    <row r="123" ht="15.75" customHeight="1" s="48"/>
    <row r="124" ht="15.75" customHeight="1" s="48"/>
    <row r="125" ht="15.75" customHeight="1" s="48"/>
    <row r="126" ht="15.75" customHeight="1" s="48"/>
    <row r="127" ht="15.75" customHeight="1" s="48"/>
    <row r="128" ht="15.75" customHeight="1" s="48"/>
    <row r="129" ht="15.75" customHeight="1" s="48"/>
    <row r="130" ht="15.75" customHeight="1" s="48"/>
    <row r="131" ht="15.75" customHeight="1" s="48"/>
    <row r="132" ht="15.75" customHeight="1" s="48"/>
    <row r="133" ht="15.75" customHeight="1" s="48"/>
    <row r="134" ht="15.75" customHeight="1" s="48"/>
    <row r="135" ht="15.75" customHeight="1" s="48"/>
    <row r="136" ht="15.75" customHeight="1" s="48"/>
    <row r="137" ht="15.75" customHeight="1" s="48"/>
    <row r="138" ht="15.75" customHeight="1" s="48"/>
    <row r="139" ht="15.75" customHeight="1" s="48"/>
    <row r="140" ht="15.75" customHeight="1" s="48"/>
    <row r="141" ht="15.75" customHeight="1" s="48"/>
    <row r="142" ht="15.75" customHeight="1" s="48"/>
    <row r="143" ht="15.75" customHeight="1" s="48"/>
    <row r="144" ht="15.75" customHeight="1" s="48"/>
    <row r="145" ht="15.75" customHeight="1" s="48"/>
    <row r="146" ht="15.75" customHeight="1" s="48"/>
    <row r="147" ht="15.75" customHeight="1" s="48"/>
    <row r="148" ht="15.75" customHeight="1" s="48"/>
    <row r="149" ht="15.75" customHeight="1" s="48"/>
    <row r="150" ht="15.75" customHeight="1" s="48"/>
    <row r="151" ht="15.75" customHeight="1" s="48"/>
    <row r="152" ht="15.75" customHeight="1" s="48"/>
    <row r="153" ht="15.75" customHeight="1" s="48"/>
    <row r="154" ht="15.75" customHeight="1" s="48"/>
    <row r="155" ht="15.75" customHeight="1" s="48"/>
    <row r="156" ht="15.75" customHeight="1" s="48"/>
    <row r="157" ht="15.75" customHeight="1" s="48"/>
    <row r="158" ht="15.75" customHeight="1" s="48"/>
    <row r="159" ht="15.75" customHeight="1" s="48"/>
    <row r="160" ht="15.75" customHeight="1" s="48"/>
    <row r="161" ht="15.75" customHeight="1" s="48"/>
    <row r="162" ht="15.75" customHeight="1" s="48"/>
    <row r="163" ht="15.75" customHeight="1" s="48"/>
    <row r="164" ht="15.75" customHeight="1" s="48"/>
    <row r="165" ht="15.75" customHeight="1" s="48"/>
    <row r="166" ht="15.75" customHeight="1" s="48"/>
    <row r="167" ht="15.75" customHeight="1" s="48"/>
    <row r="168" ht="15.75" customHeight="1" s="48"/>
    <row r="169" ht="15.75" customHeight="1" s="48"/>
    <row r="170" ht="15.75" customHeight="1" s="48"/>
    <row r="171" ht="15.75" customHeight="1" s="48"/>
    <row r="172" ht="15.75" customHeight="1" s="48"/>
    <row r="173" ht="15.75" customHeight="1" s="48"/>
    <row r="174" ht="15.75" customHeight="1" s="48"/>
    <row r="175" ht="15.75" customHeight="1" s="48"/>
    <row r="176" ht="15.75" customHeight="1" s="48"/>
    <row r="177" ht="15.75" customHeight="1" s="48"/>
    <row r="178" ht="15.75" customHeight="1" s="48"/>
    <row r="179" ht="15.75" customHeight="1" s="48"/>
    <row r="180" ht="15.75" customHeight="1" s="48"/>
    <row r="181" ht="15.75" customHeight="1" s="48"/>
    <row r="182" ht="15.75" customHeight="1" s="48"/>
    <row r="183" ht="15.75" customHeight="1" s="48"/>
    <row r="184" ht="15.75" customHeight="1" s="48"/>
    <row r="185" ht="15.75" customHeight="1" s="48"/>
    <row r="186" ht="15.75" customHeight="1" s="48"/>
    <row r="187" ht="15.75" customHeight="1" s="48"/>
    <row r="188" ht="15.75" customHeight="1" s="48"/>
    <row r="189" ht="15.75" customHeight="1" s="48"/>
    <row r="190" ht="15.75" customHeight="1" s="48"/>
    <row r="191" ht="15.75" customHeight="1" s="48"/>
    <row r="192" ht="15.75" customHeight="1" s="48"/>
    <row r="193" ht="15.75" customHeight="1" s="48"/>
    <row r="194" ht="15.75" customHeight="1" s="48"/>
    <row r="195" ht="15.75" customHeight="1" s="48"/>
    <row r="196" ht="15.75" customHeight="1" s="48"/>
    <row r="197" ht="15.75" customHeight="1" s="48"/>
    <row r="198" ht="15.75" customHeight="1" s="48"/>
    <row r="199" ht="15.75" customHeight="1" s="48"/>
    <row r="200" ht="15.75" customHeight="1" s="48"/>
    <row r="201" ht="15.75" customHeight="1" s="48"/>
    <row r="202" ht="15.75" customHeight="1" s="48"/>
    <row r="203" ht="15.75" customHeight="1" s="48"/>
    <row r="204" ht="15.75" customHeight="1" s="48"/>
    <row r="205" ht="15.75" customHeight="1" s="48"/>
    <row r="206" ht="15.75" customHeight="1" s="48"/>
    <row r="207" ht="15.75" customHeight="1" s="48"/>
    <row r="208" ht="15.75" customHeight="1" s="48"/>
    <row r="209" ht="15.75" customHeight="1" s="48"/>
    <row r="210" ht="15.75" customHeight="1" s="48"/>
    <row r="211" ht="15.75" customHeight="1" s="48"/>
    <row r="212" ht="15.75" customHeight="1" s="48"/>
    <row r="213" ht="15.75" customHeight="1" s="48"/>
    <row r="214" ht="15.75" customHeight="1" s="48"/>
    <row r="215" ht="15.75" customHeight="1" s="48"/>
    <row r="216" ht="15.75" customHeight="1" s="48"/>
    <row r="217" ht="15.75" customHeight="1" s="48"/>
    <row r="218" ht="15.75" customHeight="1" s="48"/>
    <row r="219" ht="15.75" customHeight="1" s="48"/>
    <row r="220" ht="15.75" customHeight="1" s="48"/>
    <row r="221" ht="15.75" customHeight="1" s="48"/>
    <row r="222" ht="15.75" customHeight="1" s="48"/>
    <row r="223" ht="15.75" customHeight="1" s="48"/>
    <row r="224" ht="15.75" customHeight="1" s="48"/>
    <row r="225" ht="15.75" customHeight="1" s="48"/>
    <row r="226" ht="15.75" customHeight="1" s="48"/>
    <row r="227" ht="15.75" customHeight="1" s="48"/>
    <row r="228" ht="15.75" customHeight="1" s="48"/>
    <row r="229" ht="15.75" customHeight="1" s="48"/>
    <row r="230" ht="15.75" customHeight="1" s="48"/>
    <row r="231" ht="15.75" customHeight="1" s="48"/>
    <row r="232" ht="15.75" customHeight="1" s="48"/>
    <row r="233" ht="15.75" customHeight="1" s="48"/>
    <row r="234" ht="15.75" customHeight="1" s="48"/>
    <row r="235" ht="15.75" customHeight="1" s="48"/>
    <row r="236" ht="15.75" customHeight="1" s="48"/>
    <row r="237" ht="15.75" customHeight="1" s="48"/>
    <row r="238" ht="15.75" customHeight="1" s="48"/>
    <row r="239" ht="15.75" customHeight="1" s="48"/>
    <row r="240" ht="15.75" customHeight="1" s="48"/>
    <row r="241" ht="15.75" customHeight="1" s="48"/>
    <row r="242" ht="15.75" customHeight="1" s="48"/>
    <row r="243" ht="15.75" customHeight="1" s="48"/>
    <row r="244" ht="15.75" customHeight="1" s="48"/>
    <row r="245" ht="15.75" customHeight="1" s="48"/>
    <row r="246" ht="15.75" customHeight="1" s="48"/>
    <row r="247" ht="15.75" customHeight="1" s="48"/>
    <row r="248" ht="15.75" customHeight="1" s="48"/>
    <row r="249" ht="15.75" customHeight="1" s="48"/>
    <row r="250" ht="15.75" customHeight="1" s="48"/>
    <row r="251" ht="15.75" customHeight="1" s="48"/>
    <row r="252" ht="15.75" customHeight="1" s="48"/>
    <row r="253" ht="15.75" customHeight="1" s="48"/>
    <row r="254" ht="15.75" customHeight="1" s="48"/>
    <row r="255" ht="15.75" customHeight="1" s="48"/>
    <row r="256" ht="15.75" customHeight="1" s="48"/>
    <row r="257" ht="15.75" customHeight="1" s="48"/>
    <row r="258" ht="15.75" customHeight="1" s="48"/>
    <row r="259" ht="15.75" customHeight="1" s="48"/>
    <row r="260" ht="15.75" customHeight="1" s="48"/>
    <row r="261" ht="15.75" customHeight="1" s="48"/>
    <row r="262" ht="15.75" customHeight="1" s="48"/>
    <row r="263" ht="15.75" customHeight="1" s="48"/>
    <row r="264" ht="15.75" customHeight="1" s="48"/>
    <row r="265" ht="15.75" customHeight="1" s="48"/>
    <row r="266" ht="15.75" customHeight="1" s="48"/>
    <row r="267" ht="15.75" customHeight="1" s="48"/>
    <row r="268" ht="15.75" customHeight="1" s="48"/>
    <row r="269" ht="15.75" customHeight="1" s="48"/>
    <row r="270" ht="15.75" customHeight="1" s="48"/>
    <row r="271" ht="15.75" customHeight="1" s="48"/>
    <row r="272" ht="15.75" customHeight="1" s="48"/>
    <row r="273" ht="15.75" customHeight="1" s="48"/>
    <row r="274" ht="15.75" customHeight="1" s="48"/>
    <row r="275" ht="15.75" customHeight="1" s="48"/>
    <row r="276" ht="15.75" customHeight="1" s="48"/>
    <row r="277" ht="15.75" customHeight="1" s="48"/>
    <row r="278" ht="15.75" customHeight="1" s="48"/>
    <row r="279" ht="15.75" customHeight="1" s="48"/>
    <row r="280" ht="15.75" customHeight="1" s="48"/>
    <row r="281" ht="15.75" customHeight="1" s="48"/>
    <row r="282" ht="15.75" customHeight="1" s="48"/>
    <row r="283" ht="15.75" customHeight="1" s="48"/>
    <row r="284" ht="15.75" customHeight="1" s="48"/>
    <row r="285" ht="15.75" customHeight="1" s="48"/>
    <row r="286" ht="15.75" customHeight="1" s="48"/>
    <row r="287" ht="15.75" customHeight="1" s="48"/>
    <row r="288" ht="15.75" customHeight="1" s="48"/>
    <row r="289" ht="15.75" customHeight="1" s="48"/>
    <row r="290" ht="15.75" customHeight="1" s="48"/>
    <row r="291" ht="15.75" customHeight="1" s="48"/>
    <row r="292" ht="15.75" customHeight="1" s="48"/>
    <row r="293" ht="15.75" customHeight="1" s="48"/>
    <row r="294" ht="15.75" customHeight="1" s="48"/>
    <row r="295" ht="15.75" customHeight="1" s="48"/>
    <row r="296" ht="15.75" customHeight="1" s="48"/>
    <row r="297" ht="15.75" customHeight="1" s="48"/>
    <row r="298" ht="15.75" customHeight="1" s="48"/>
    <row r="299" ht="15.75" customHeight="1" s="48"/>
    <row r="300" ht="15.75" customHeight="1" s="48"/>
    <row r="301" ht="15.75" customHeight="1" s="48"/>
    <row r="302" ht="15.75" customHeight="1" s="48"/>
    <row r="303" ht="15.75" customHeight="1" s="48"/>
    <row r="304" ht="15.75" customHeight="1" s="48"/>
    <row r="305" ht="15.75" customHeight="1" s="48"/>
    <row r="306" ht="15.75" customHeight="1" s="48"/>
    <row r="307" ht="15.75" customHeight="1" s="48"/>
    <row r="308" ht="15.75" customHeight="1" s="48"/>
    <row r="309" ht="15.75" customHeight="1" s="48"/>
    <row r="310" ht="15.75" customHeight="1" s="48"/>
    <row r="311" ht="15.75" customHeight="1" s="48"/>
    <row r="312" ht="15.75" customHeight="1" s="48"/>
    <row r="313" ht="15.75" customHeight="1" s="48"/>
    <row r="314" ht="15.75" customHeight="1" s="48"/>
    <row r="315" ht="15.75" customHeight="1" s="48"/>
    <row r="316" ht="15.75" customHeight="1" s="48"/>
    <row r="317" ht="15.75" customHeight="1" s="48"/>
    <row r="318" ht="15.75" customHeight="1" s="48"/>
    <row r="319" ht="15.75" customHeight="1" s="48"/>
    <row r="320" ht="15.75" customHeight="1" s="48"/>
    <row r="321" ht="15.75" customHeight="1" s="48"/>
    <row r="322" ht="15.75" customHeight="1" s="48"/>
    <row r="323" ht="15.75" customHeight="1" s="48"/>
    <row r="324" ht="15.75" customHeight="1" s="48"/>
    <row r="325" ht="15.75" customHeight="1" s="48"/>
    <row r="326" ht="15.75" customHeight="1" s="48"/>
    <row r="327" ht="15.75" customHeight="1" s="48"/>
    <row r="328" ht="15.75" customHeight="1" s="48"/>
    <row r="329" ht="15.75" customHeight="1" s="48"/>
    <row r="330" ht="15.75" customHeight="1" s="48"/>
    <row r="331" ht="15.75" customHeight="1" s="48"/>
    <row r="332" ht="15.75" customHeight="1" s="48"/>
    <row r="333" ht="15.75" customHeight="1" s="48"/>
    <row r="334" ht="15.75" customHeight="1" s="48"/>
    <row r="335" ht="15.75" customHeight="1" s="48"/>
    <row r="336" ht="15.75" customHeight="1" s="48"/>
    <row r="337" ht="15.75" customHeight="1" s="48"/>
    <row r="338" ht="15.75" customHeight="1" s="48"/>
    <row r="339" ht="15.75" customHeight="1" s="48"/>
    <row r="340" ht="15.75" customHeight="1" s="48"/>
    <row r="341" ht="15.75" customHeight="1" s="48"/>
    <row r="342" ht="15.75" customHeight="1" s="48"/>
    <row r="343" ht="15.75" customHeight="1" s="48"/>
    <row r="344" ht="15.75" customHeight="1" s="48"/>
    <row r="345" ht="15.75" customHeight="1" s="48"/>
    <row r="346" ht="15.75" customHeight="1" s="48"/>
    <row r="347" ht="15.75" customHeight="1" s="48"/>
    <row r="348" ht="15.75" customHeight="1" s="48"/>
    <row r="349" ht="15.75" customHeight="1" s="48"/>
    <row r="350" ht="15.75" customHeight="1" s="48"/>
    <row r="351" ht="15.75" customHeight="1" s="48"/>
    <row r="352" ht="15.75" customHeight="1" s="48"/>
    <row r="353" ht="15.75" customHeight="1" s="48"/>
    <row r="354" ht="15.75" customHeight="1" s="48"/>
    <row r="355" ht="15.75" customHeight="1" s="48"/>
    <row r="356" ht="15.75" customHeight="1" s="48"/>
    <row r="357" ht="15.75" customHeight="1" s="48"/>
    <row r="358" ht="15.75" customHeight="1" s="48"/>
    <row r="359" ht="15.75" customHeight="1" s="48"/>
    <row r="360" ht="15.75" customHeight="1" s="48"/>
    <row r="361" ht="15.75" customHeight="1" s="48"/>
    <row r="362" ht="15.75" customHeight="1" s="48"/>
    <row r="363" ht="15.75" customHeight="1" s="48"/>
    <row r="364" ht="15.75" customHeight="1" s="48"/>
    <row r="365" ht="15.75" customHeight="1" s="48"/>
    <row r="366" ht="15.75" customHeight="1" s="48"/>
    <row r="367" ht="15.75" customHeight="1" s="48"/>
    <row r="368" ht="15.75" customHeight="1" s="48"/>
    <row r="369" ht="15.75" customHeight="1" s="48"/>
    <row r="370" ht="15.75" customHeight="1" s="48"/>
    <row r="371" ht="15.75" customHeight="1" s="48"/>
    <row r="372" ht="15.75" customHeight="1" s="48"/>
    <row r="373" ht="15.75" customHeight="1" s="48"/>
    <row r="374" ht="15.75" customHeight="1" s="48"/>
    <row r="375" ht="15.75" customHeight="1" s="48"/>
    <row r="376" ht="15.75" customHeight="1" s="48"/>
    <row r="377" ht="15.75" customHeight="1" s="48"/>
    <row r="378" ht="15.75" customHeight="1" s="48"/>
    <row r="379" ht="15.75" customHeight="1" s="48"/>
    <row r="380" ht="15.75" customHeight="1" s="48"/>
    <row r="381" ht="15.75" customHeight="1" s="48"/>
    <row r="382" ht="15.75" customHeight="1" s="48"/>
    <row r="383" ht="15.75" customHeight="1" s="48"/>
    <row r="384" ht="15.75" customHeight="1" s="48"/>
    <row r="385" ht="15.75" customHeight="1" s="48"/>
    <row r="386" ht="15.75" customHeight="1" s="48"/>
    <row r="387" ht="15.75" customHeight="1" s="48"/>
    <row r="388" ht="15.75" customHeight="1" s="48"/>
    <row r="389" ht="15.75" customHeight="1" s="48"/>
    <row r="390" ht="15.75" customHeight="1" s="48"/>
    <row r="391" ht="15.75" customHeight="1" s="48"/>
    <row r="392" ht="15.75" customHeight="1" s="48"/>
    <row r="393" ht="15.75" customHeight="1" s="48"/>
    <row r="394" ht="15.75" customHeight="1" s="48"/>
    <row r="395" ht="15.75" customHeight="1" s="48"/>
    <row r="396" ht="15.75" customHeight="1" s="48"/>
    <row r="397" ht="15.75" customHeight="1" s="48"/>
    <row r="398" ht="15.75" customHeight="1" s="48"/>
    <row r="399" ht="15.75" customHeight="1" s="48"/>
    <row r="400" ht="15.75" customHeight="1" s="48"/>
    <row r="401" ht="15.75" customHeight="1" s="48"/>
    <row r="402" ht="15.75" customHeight="1" s="48"/>
    <row r="403" ht="15.75" customHeight="1" s="48"/>
    <row r="404" ht="15.75" customHeight="1" s="48"/>
    <row r="405" ht="15.75" customHeight="1" s="48"/>
    <row r="406" ht="15.75" customHeight="1" s="48"/>
    <row r="407" ht="15.75" customHeight="1" s="48"/>
    <row r="408" ht="15.75" customHeight="1" s="48"/>
    <row r="409" ht="15.75" customHeight="1" s="48"/>
    <row r="410" ht="15.75" customHeight="1" s="48"/>
    <row r="411" ht="15.75" customHeight="1" s="48"/>
    <row r="412" ht="15.75" customHeight="1" s="48"/>
    <row r="413" ht="15.75" customHeight="1" s="48"/>
    <row r="414" ht="15.75" customHeight="1" s="48"/>
    <row r="415" ht="15.75" customHeight="1" s="48"/>
    <row r="416" ht="15.75" customHeight="1" s="48"/>
    <row r="417" ht="15.75" customHeight="1" s="48"/>
    <row r="418" ht="15.75" customHeight="1" s="48"/>
    <row r="419" ht="15.75" customHeight="1" s="48"/>
    <row r="420" ht="15.75" customHeight="1" s="48"/>
    <row r="421" ht="15.75" customHeight="1" s="48"/>
    <row r="422" ht="15.75" customHeight="1" s="48"/>
    <row r="423" ht="15.75" customHeight="1" s="48"/>
    <row r="424" ht="15.75" customHeight="1" s="48"/>
    <row r="425" ht="15.75" customHeight="1" s="48"/>
    <row r="426" ht="15.75" customHeight="1" s="48"/>
    <row r="427" ht="15.75" customHeight="1" s="48"/>
    <row r="428" ht="15.75" customHeight="1" s="48"/>
    <row r="429" ht="15.75" customHeight="1" s="48"/>
    <row r="430" ht="15.75" customHeight="1" s="48"/>
    <row r="431" ht="15.75" customHeight="1" s="48"/>
    <row r="432" ht="15.75" customHeight="1" s="48"/>
    <row r="433" ht="15.75" customHeight="1" s="48"/>
    <row r="434" ht="15.75" customHeight="1" s="48"/>
    <row r="435" ht="15.75" customHeight="1" s="48"/>
    <row r="436" ht="15.75" customHeight="1" s="48"/>
    <row r="437" ht="15.75" customHeight="1" s="48"/>
    <row r="438" ht="15.75" customHeight="1" s="48"/>
    <row r="439" ht="15.75" customHeight="1" s="48"/>
    <row r="440" ht="15.75" customHeight="1" s="48"/>
    <row r="441" ht="15.75" customHeight="1" s="48"/>
    <row r="442" ht="15.75" customHeight="1" s="48"/>
    <row r="443" ht="15.75" customHeight="1" s="48"/>
    <row r="444" ht="15.75" customHeight="1" s="48"/>
    <row r="445" ht="15.75" customHeight="1" s="48"/>
    <row r="446" ht="15.75" customHeight="1" s="48"/>
    <row r="447" ht="15.75" customHeight="1" s="48"/>
    <row r="448" ht="15.75" customHeight="1" s="48"/>
    <row r="449" ht="15.75" customHeight="1" s="48"/>
    <row r="450" ht="15.75" customHeight="1" s="48"/>
    <row r="451" ht="15.75" customHeight="1" s="48"/>
    <row r="452" ht="15.75" customHeight="1" s="48"/>
    <row r="453" ht="15.75" customHeight="1" s="48"/>
    <row r="454" ht="15.75" customHeight="1" s="48"/>
    <row r="455" ht="15.75" customHeight="1" s="48"/>
    <row r="456" ht="15.75" customHeight="1" s="48"/>
    <row r="457" ht="15.75" customHeight="1" s="48"/>
    <row r="458" ht="15.75" customHeight="1" s="48"/>
    <row r="459" ht="15.75" customHeight="1" s="48"/>
    <row r="460" ht="15.75" customHeight="1" s="48"/>
    <row r="461" ht="15.75" customHeight="1" s="48"/>
    <row r="462" ht="15.75" customHeight="1" s="48"/>
    <row r="463" ht="15.75" customHeight="1" s="48"/>
    <row r="464" ht="15.75" customHeight="1" s="48"/>
    <row r="465" ht="15.75" customHeight="1" s="48"/>
    <row r="466" ht="15.75" customHeight="1" s="48"/>
    <row r="467" ht="15.75" customHeight="1" s="48"/>
    <row r="468" ht="15.75" customHeight="1" s="48"/>
    <row r="469" ht="15.75" customHeight="1" s="48"/>
    <row r="470" ht="15.75" customHeight="1" s="48"/>
    <row r="471" ht="15.75" customHeight="1" s="48"/>
    <row r="472" ht="15.75" customHeight="1" s="48"/>
    <row r="473" ht="15.75" customHeight="1" s="48"/>
    <row r="474" ht="15.75" customHeight="1" s="48"/>
    <row r="475" ht="15.75" customHeight="1" s="48"/>
    <row r="476" ht="15.75" customHeight="1" s="48"/>
    <row r="477" ht="15.75" customHeight="1" s="48"/>
    <row r="478" ht="15.75" customHeight="1" s="48"/>
    <row r="479" ht="15.75" customHeight="1" s="48"/>
    <row r="480" ht="15.75" customHeight="1" s="48"/>
    <row r="481" ht="15.75" customHeight="1" s="48"/>
    <row r="482" ht="15.75" customHeight="1" s="48"/>
    <row r="483" ht="15.75" customHeight="1" s="48"/>
    <row r="484" ht="15.75" customHeight="1" s="48"/>
    <row r="485" ht="15.75" customHeight="1" s="48"/>
    <row r="486" ht="15.75" customHeight="1" s="48"/>
    <row r="487" ht="15.75" customHeight="1" s="48"/>
    <row r="488" ht="15.75" customHeight="1" s="48"/>
    <row r="489" ht="15.75" customHeight="1" s="48"/>
    <row r="490" ht="15.75" customHeight="1" s="48"/>
    <row r="491" ht="15.75" customHeight="1" s="48"/>
    <row r="492" ht="15.75" customHeight="1" s="48"/>
    <row r="493" ht="15.75" customHeight="1" s="48"/>
    <row r="494" ht="15.75" customHeight="1" s="48"/>
    <row r="495" ht="15.75" customHeight="1" s="48"/>
    <row r="496" ht="15.75" customHeight="1" s="48"/>
    <row r="497" ht="15.75" customHeight="1" s="48"/>
    <row r="498" ht="15.75" customHeight="1" s="48"/>
    <row r="499" ht="15.75" customHeight="1" s="48"/>
    <row r="500" ht="15.75" customHeight="1" s="48"/>
    <row r="501" ht="15.75" customHeight="1" s="48"/>
    <row r="502" ht="15.75" customHeight="1" s="48"/>
    <row r="503" ht="15.75" customHeight="1" s="48"/>
    <row r="504" ht="15.75" customHeight="1" s="48"/>
    <row r="505" ht="15.75" customHeight="1" s="48"/>
    <row r="506" ht="15.75" customHeight="1" s="48"/>
    <row r="507" ht="15.75" customHeight="1" s="48"/>
    <row r="508" ht="15.75" customHeight="1" s="48"/>
    <row r="509" ht="15.75" customHeight="1" s="48"/>
    <row r="510" ht="15.75" customHeight="1" s="48"/>
    <row r="511" ht="15.75" customHeight="1" s="48"/>
    <row r="512" ht="15.75" customHeight="1" s="48"/>
    <row r="513" ht="15.75" customHeight="1" s="48"/>
    <row r="514" ht="15.75" customHeight="1" s="48"/>
    <row r="515" ht="15.75" customHeight="1" s="48"/>
    <row r="516" ht="15.75" customHeight="1" s="48"/>
    <row r="517" ht="15.75" customHeight="1" s="48"/>
    <row r="518" ht="15.75" customHeight="1" s="48"/>
    <row r="519" ht="15.75" customHeight="1" s="48"/>
    <row r="520" ht="15.75" customHeight="1" s="48"/>
    <row r="521" ht="15.75" customHeight="1" s="48"/>
    <row r="522" ht="15.75" customHeight="1" s="48"/>
    <row r="523" ht="15.75" customHeight="1" s="48"/>
    <row r="524" ht="15.75" customHeight="1" s="48"/>
    <row r="525" ht="15.75" customHeight="1" s="48"/>
    <row r="526" ht="15.75" customHeight="1" s="48"/>
    <row r="527" ht="15.75" customHeight="1" s="48"/>
    <row r="528" ht="15.75" customHeight="1" s="48"/>
    <row r="529" ht="15.75" customHeight="1" s="48"/>
    <row r="530" ht="15.75" customHeight="1" s="48"/>
    <row r="531" ht="15.75" customHeight="1" s="48"/>
    <row r="532" ht="15.75" customHeight="1" s="48"/>
    <row r="533" ht="15.75" customHeight="1" s="48"/>
    <row r="534" ht="15.75" customHeight="1" s="48"/>
    <row r="535" ht="15.75" customHeight="1" s="48"/>
    <row r="536" ht="15.75" customHeight="1" s="48"/>
    <row r="537" ht="15.75" customHeight="1" s="48"/>
    <row r="538" ht="15.75" customHeight="1" s="48"/>
    <row r="539" ht="15.75" customHeight="1" s="48"/>
    <row r="540" ht="15.75" customHeight="1" s="48"/>
    <row r="541" ht="15.75" customHeight="1" s="48"/>
    <row r="542" ht="15.75" customHeight="1" s="48"/>
    <row r="543" ht="15.75" customHeight="1" s="48"/>
    <row r="544" ht="15.75" customHeight="1" s="48"/>
    <row r="545" ht="15.75" customHeight="1" s="48"/>
    <row r="546" ht="15.75" customHeight="1" s="48"/>
    <row r="547" ht="15.75" customHeight="1" s="48"/>
    <row r="548" ht="15.75" customHeight="1" s="48"/>
    <row r="549" ht="15.75" customHeight="1" s="48"/>
    <row r="550" ht="15.75" customHeight="1" s="48"/>
    <row r="551" ht="15.75" customHeight="1" s="48"/>
    <row r="552" ht="15.75" customHeight="1" s="48"/>
    <row r="553" ht="15.75" customHeight="1" s="48"/>
    <row r="554" ht="15.75" customHeight="1" s="48"/>
    <row r="555" ht="15.75" customHeight="1" s="48"/>
    <row r="556" ht="15.75" customHeight="1" s="48"/>
    <row r="557" ht="15.75" customHeight="1" s="48"/>
    <row r="558" ht="15.75" customHeight="1" s="48"/>
    <row r="559" ht="15.75" customHeight="1" s="48"/>
    <row r="560" ht="15.75" customHeight="1" s="48"/>
    <row r="561" ht="15.75" customHeight="1" s="48"/>
    <row r="562" ht="15.75" customHeight="1" s="48"/>
    <row r="563" ht="15.75" customHeight="1" s="48"/>
    <row r="564" ht="15.75" customHeight="1" s="48"/>
    <row r="565" ht="15.75" customHeight="1" s="48"/>
    <row r="566" ht="15.75" customHeight="1" s="48"/>
    <row r="567" ht="15.75" customHeight="1" s="48"/>
    <row r="568" ht="15.75" customHeight="1" s="48"/>
    <row r="569" ht="15.75" customHeight="1" s="48"/>
    <row r="570" ht="15.75" customHeight="1" s="48"/>
    <row r="571" ht="15.75" customHeight="1" s="48"/>
    <row r="572" ht="15.75" customHeight="1" s="48"/>
    <row r="573" ht="15.75" customHeight="1" s="48"/>
    <row r="574" ht="15.75" customHeight="1" s="48"/>
    <row r="575" ht="15.75" customHeight="1" s="48"/>
    <row r="576" ht="15.75" customHeight="1" s="48"/>
    <row r="577" ht="15.75" customHeight="1" s="48"/>
    <row r="578" ht="15.75" customHeight="1" s="48"/>
    <row r="579" ht="15.75" customHeight="1" s="48"/>
    <row r="580" ht="15.75" customHeight="1" s="48"/>
    <row r="581" ht="15.75" customHeight="1" s="48"/>
    <row r="582" ht="15.75" customHeight="1" s="48"/>
    <row r="583" ht="15.75" customHeight="1" s="48"/>
    <row r="584" ht="15.75" customHeight="1" s="48"/>
    <row r="585" ht="15.75" customHeight="1" s="48"/>
    <row r="586" ht="15.75" customHeight="1" s="48"/>
    <row r="587" ht="15.75" customHeight="1" s="48"/>
    <row r="588" ht="15.75" customHeight="1" s="48"/>
    <row r="589" ht="15.75" customHeight="1" s="48"/>
    <row r="590" ht="15.75" customHeight="1" s="48"/>
    <row r="591" ht="15.75" customHeight="1" s="48"/>
    <row r="592" ht="15.75" customHeight="1" s="48"/>
    <row r="593" ht="15.75" customHeight="1" s="48"/>
    <row r="594" ht="15.75" customHeight="1" s="48"/>
    <row r="595" ht="15.75" customHeight="1" s="48"/>
    <row r="596" ht="15.75" customHeight="1" s="48"/>
    <row r="597" ht="15.75" customHeight="1" s="48"/>
    <row r="598" ht="15.75" customHeight="1" s="48"/>
    <row r="599" ht="15.75" customHeight="1" s="48"/>
    <row r="600" ht="15.75" customHeight="1" s="48"/>
    <row r="601" ht="15.75" customHeight="1" s="48"/>
    <row r="602" ht="15.75" customHeight="1" s="48"/>
    <row r="603" ht="15.75" customHeight="1" s="48"/>
    <row r="604" ht="15.75" customHeight="1" s="48"/>
    <row r="605" ht="15.75" customHeight="1" s="48"/>
    <row r="606" ht="15.75" customHeight="1" s="48"/>
    <row r="607" ht="15.75" customHeight="1" s="48"/>
    <row r="608" ht="15.75" customHeight="1" s="48"/>
    <row r="609" ht="15.75" customHeight="1" s="48"/>
    <row r="610" ht="15.75" customHeight="1" s="48"/>
    <row r="611" ht="15.75" customHeight="1" s="48"/>
    <row r="612" ht="15.75" customHeight="1" s="48"/>
    <row r="613" ht="15.75" customHeight="1" s="48"/>
    <row r="614" ht="15.75" customHeight="1" s="48"/>
    <row r="615" ht="15.75" customHeight="1" s="48"/>
    <row r="616" ht="15.75" customHeight="1" s="48"/>
    <row r="617" ht="15.75" customHeight="1" s="48"/>
    <row r="618" ht="15.75" customHeight="1" s="48"/>
    <row r="619" ht="15.75" customHeight="1" s="48"/>
    <row r="620" ht="15.75" customHeight="1" s="48"/>
    <row r="621" ht="15.75" customHeight="1" s="48"/>
    <row r="622" ht="15.75" customHeight="1" s="48"/>
    <row r="623" ht="15.75" customHeight="1" s="48"/>
    <row r="624" ht="15.75" customHeight="1" s="48"/>
    <row r="625" ht="15.75" customHeight="1" s="48"/>
    <row r="626" ht="15.75" customHeight="1" s="48"/>
    <row r="627" ht="15.75" customHeight="1" s="48"/>
    <row r="628" ht="15.75" customHeight="1" s="48"/>
    <row r="629" ht="15.75" customHeight="1" s="48"/>
    <row r="630" ht="15.75" customHeight="1" s="48"/>
    <row r="631" ht="15.75" customHeight="1" s="48"/>
    <row r="632" ht="15.75" customHeight="1" s="48"/>
    <row r="633" ht="15.75" customHeight="1" s="48"/>
    <row r="634" ht="15.75" customHeight="1" s="48"/>
    <row r="635" ht="15.75" customHeight="1" s="48"/>
    <row r="636" ht="15.75" customHeight="1" s="48"/>
    <row r="637" ht="15.75" customHeight="1" s="48"/>
    <row r="638" ht="15.75" customHeight="1" s="48"/>
    <row r="639" ht="15.75" customHeight="1" s="48"/>
    <row r="640" ht="15.75" customHeight="1" s="48"/>
    <row r="641" ht="15.75" customHeight="1" s="48"/>
    <row r="642" ht="15.75" customHeight="1" s="48"/>
    <row r="643" ht="15.75" customHeight="1" s="48"/>
    <row r="644" ht="15.75" customHeight="1" s="48"/>
    <row r="645" ht="15.75" customHeight="1" s="48"/>
    <row r="646" ht="15.75" customHeight="1" s="48"/>
    <row r="647" ht="15.75" customHeight="1" s="48"/>
    <row r="648" ht="15.75" customHeight="1" s="48"/>
    <row r="649" ht="15.75" customHeight="1" s="48"/>
    <row r="650" ht="15.75" customHeight="1" s="48"/>
    <row r="651" ht="15.75" customHeight="1" s="48"/>
    <row r="652" ht="15.75" customHeight="1" s="48"/>
    <row r="653" ht="15.75" customHeight="1" s="48"/>
    <row r="654" ht="15.75" customHeight="1" s="48"/>
    <row r="655" ht="15.75" customHeight="1" s="48"/>
    <row r="656" ht="15.75" customHeight="1" s="48"/>
    <row r="657" ht="15.75" customHeight="1" s="48"/>
    <row r="658" ht="15.75" customHeight="1" s="48"/>
    <row r="659" ht="15.75" customHeight="1" s="48"/>
    <row r="660" ht="15.75" customHeight="1" s="48"/>
    <row r="661" ht="15.75" customHeight="1" s="48"/>
    <row r="662" ht="15.75" customHeight="1" s="48"/>
    <row r="663" ht="15.75" customHeight="1" s="48"/>
    <row r="664" ht="15.75" customHeight="1" s="48"/>
    <row r="665" ht="15.75" customHeight="1" s="48"/>
    <row r="666" ht="15.75" customHeight="1" s="48"/>
    <row r="667" ht="15.75" customHeight="1" s="48"/>
    <row r="668" ht="15.75" customHeight="1" s="48"/>
    <row r="669" ht="15.75" customHeight="1" s="48"/>
    <row r="670" ht="15.75" customHeight="1" s="48"/>
    <row r="671" ht="15.75" customHeight="1" s="48"/>
    <row r="672" ht="15.75" customHeight="1" s="48"/>
    <row r="673" ht="15.75" customHeight="1" s="48"/>
    <row r="674" ht="15.75" customHeight="1" s="48"/>
    <row r="675" ht="15.75" customHeight="1" s="48"/>
    <row r="676" ht="15.75" customHeight="1" s="48"/>
    <row r="677" ht="15.75" customHeight="1" s="48"/>
    <row r="678" ht="15.75" customHeight="1" s="48"/>
    <row r="679" ht="15.75" customHeight="1" s="48"/>
    <row r="680" ht="15.75" customHeight="1" s="48"/>
    <row r="681" ht="15.75" customHeight="1" s="48"/>
    <row r="682" ht="15.75" customHeight="1" s="48"/>
    <row r="683" ht="15.75" customHeight="1" s="48"/>
    <row r="684" ht="15.75" customHeight="1" s="48"/>
    <row r="685" ht="15.75" customHeight="1" s="48"/>
    <row r="686" ht="15.75" customHeight="1" s="48"/>
    <row r="687" ht="15.75" customHeight="1" s="48"/>
    <row r="688" ht="15.75" customHeight="1" s="48"/>
    <row r="689" ht="15.75" customHeight="1" s="48"/>
    <row r="690" ht="15.75" customHeight="1" s="48"/>
    <row r="691" ht="15.75" customHeight="1" s="48"/>
    <row r="692" ht="15.75" customHeight="1" s="48"/>
    <row r="693" ht="15.75" customHeight="1" s="48"/>
    <row r="694" ht="15.75" customHeight="1" s="48"/>
    <row r="695" ht="15.75" customHeight="1" s="48"/>
    <row r="696" ht="15.75" customHeight="1" s="48"/>
    <row r="697" ht="15.75" customHeight="1" s="48"/>
    <row r="698" ht="15.75" customHeight="1" s="48"/>
    <row r="699" ht="15.75" customHeight="1" s="48"/>
    <row r="700" ht="15.75" customHeight="1" s="48"/>
    <row r="701" ht="15.75" customHeight="1" s="48"/>
    <row r="702" ht="15.75" customHeight="1" s="48"/>
    <row r="703" ht="15.75" customHeight="1" s="48"/>
    <row r="704" ht="15.75" customHeight="1" s="48"/>
    <row r="705" ht="15.75" customHeight="1" s="48"/>
    <row r="706" ht="15.75" customHeight="1" s="48"/>
    <row r="707" ht="15.75" customHeight="1" s="48"/>
    <row r="708" ht="15.75" customHeight="1" s="48"/>
    <row r="709" ht="15.75" customHeight="1" s="48"/>
    <row r="710" ht="15.75" customHeight="1" s="48"/>
    <row r="711" ht="15.75" customHeight="1" s="48"/>
    <row r="712" ht="15.75" customHeight="1" s="48"/>
    <row r="713" ht="15.75" customHeight="1" s="48"/>
    <row r="714" ht="15.75" customHeight="1" s="48"/>
    <row r="715" ht="15.75" customHeight="1" s="48"/>
    <row r="716" ht="15.75" customHeight="1" s="48"/>
    <row r="717" ht="15.75" customHeight="1" s="48"/>
    <row r="718" ht="15.75" customHeight="1" s="48"/>
    <row r="719" ht="15.75" customHeight="1" s="48"/>
    <row r="720" ht="15.75" customHeight="1" s="48"/>
    <row r="721" ht="15.75" customHeight="1" s="48"/>
    <row r="722" ht="15.75" customHeight="1" s="48"/>
    <row r="723" ht="15.75" customHeight="1" s="48"/>
    <row r="724" ht="15.75" customHeight="1" s="48"/>
    <row r="725" ht="15.75" customHeight="1" s="48"/>
    <row r="726" ht="15.75" customHeight="1" s="48"/>
    <row r="727" ht="15.75" customHeight="1" s="48"/>
    <row r="728" ht="15.75" customHeight="1" s="48"/>
    <row r="729" ht="15.75" customHeight="1" s="48"/>
    <row r="730" ht="15.75" customHeight="1" s="48"/>
    <row r="731" ht="15.75" customHeight="1" s="48"/>
    <row r="732" ht="15.75" customHeight="1" s="48"/>
    <row r="733" ht="15.75" customHeight="1" s="48"/>
    <row r="734" ht="15.75" customHeight="1" s="48"/>
    <row r="735" ht="15.75" customHeight="1" s="48"/>
    <row r="736" ht="15.75" customHeight="1" s="48"/>
    <row r="737" ht="15.75" customHeight="1" s="48"/>
    <row r="738" ht="15.75" customHeight="1" s="48"/>
    <row r="739" ht="15.75" customHeight="1" s="48"/>
    <row r="740" ht="15.75" customHeight="1" s="48"/>
    <row r="741" ht="15.75" customHeight="1" s="48"/>
    <row r="742" ht="15.75" customHeight="1" s="48"/>
    <row r="743" ht="15.75" customHeight="1" s="48"/>
    <row r="744" ht="15.75" customHeight="1" s="48"/>
    <row r="745" ht="15.75" customHeight="1" s="48"/>
    <row r="746" ht="15.75" customHeight="1" s="48"/>
    <row r="747" ht="15.75" customHeight="1" s="48"/>
    <row r="748" ht="15.75" customHeight="1" s="48"/>
    <row r="749" ht="15.75" customHeight="1" s="48"/>
    <row r="750" ht="15.75" customHeight="1" s="48"/>
    <row r="751" ht="15.75" customHeight="1" s="48"/>
    <row r="752" ht="15.75" customHeight="1" s="48"/>
    <row r="753" ht="15.75" customHeight="1" s="48"/>
    <row r="754" ht="15.75" customHeight="1" s="48"/>
    <row r="755" ht="15.75" customHeight="1" s="48"/>
    <row r="756" ht="15.75" customHeight="1" s="48"/>
    <row r="757" ht="15.75" customHeight="1" s="48"/>
    <row r="758" ht="15.75" customHeight="1" s="48"/>
    <row r="759" ht="15.75" customHeight="1" s="48"/>
    <row r="760" ht="15.75" customHeight="1" s="48"/>
    <row r="761" ht="15.75" customHeight="1" s="48"/>
    <row r="762" ht="15.75" customHeight="1" s="48"/>
    <row r="763" ht="15.75" customHeight="1" s="48"/>
    <row r="764" ht="15.75" customHeight="1" s="48"/>
    <row r="765" ht="15.75" customHeight="1" s="48"/>
    <row r="766" ht="15.75" customHeight="1" s="48"/>
    <row r="767" ht="15.75" customHeight="1" s="48"/>
    <row r="768" ht="15.75" customHeight="1" s="48"/>
    <row r="769" ht="15.75" customHeight="1" s="48"/>
    <row r="770" ht="15.75" customHeight="1" s="48"/>
    <row r="771" ht="15.75" customHeight="1" s="48"/>
    <row r="772" ht="15.75" customHeight="1" s="48"/>
    <row r="773" ht="15.75" customHeight="1" s="48"/>
    <row r="774" ht="15.75" customHeight="1" s="48"/>
    <row r="775" ht="15.75" customHeight="1" s="48"/>
    <row r="776" ht="15.75" customHeight="1" s="48"/>
    <row r="777" ht="15.75" customHeight="1" s="48"/>
    <row r="778" ht="15.75" customHeight="1" s="48"/>
    <row r="779" ht="15.75" customHeight="1" s="48"/>
    <row r="780" ht="15.75" customHeight="1" s="48"/>
    <row r="781" ht="15.75" customHeight="1" s="48"/>
    <row r="782" ht="15.75" customHeight="1" s="48"/>
    <row r="783" ht="15.75" customHeight="1" s="48"/>
    <row r="784" ht="15.75" customHeight="1" s="48"/>
    <row r="785" ht="15.75" customHeight="1" s="48"/>
    <row r="786" ht="15.75" customHeight="1" s="48"/>
    <row r="787" ht="15.75" customHeight="1" s="48"/>
    <row r="788" ht="15.75" customHeight="1" s="48"/>
    <row r="789" ht="15.75" customHeight="1" s="48"/>
    <row r="790" ht="15.75" customHeight="1" s="48"/>
    <row r="791" ht="15.75" customHeight="1" s="48"/>
    <row r="792" ht="15.75" customHeight="1" s="48"/>
    <row r="793" ht="15.75" customHeight="1" s="48"/>
    <row r="794" ht="15.75" customHeight="1" s="48"/>
    <row r="795" ht="15.75" customHeight="1" s="48"/>
    <row r="796" ht="15.75" customHeight="1" s="48"/>
    <row r="797" ht="15.75" customHeight="1" s="48"/>
    <row r="798" ht="15.75" customHeight="1" s="48"/>
    <row r="799" ht="15.75" customHeight="1" s="48"/>
    <row r="800" ht="15.75" customHeight="1" s="48"/>
    <row r="801" ht="15.75" customHeight="1" s="48"/>
    <row r="802" ht="15.75" customHeight="1" s="48"/>
    <row r="803" ht="15.75" customHeight="1" s="48"/>
    <row r="804" ht="15.75" customHeight="1" s="48"/>
    <row r="805" ht="15.75" customHeight="1" s="48"/>
    <row r="806" ht="15.75" customHeight="1" s="48"/>
    <row r="807" ht="15.75" customHeight="1" s="48"/>
    <row r="808" ht="15.75" customHeight="1" s="48"/>
    <row r="809" ht="15.75" customHeight="1" s="48"/>
    <row r="810" ht="15.75" customHeight="1" s="48"/>
    <row r="811" ht="15.75" customHeight="1" s="48"/>
    <row r="812" ht="15.75" customHeight="1" s="48"/>
    <row r="813" ht="15.75" customHeight="1" s="48"/>
    <row r="814" ht="15.75" customHeight="1" s="48"/>
    <row r="815" ht="15.75" customHeight="1" s="48"/>
    <row r="816" ht="15.75" customHeight="1" s="48"/>
    <row r="817" ht="15.75" customHeight="1" s="48"/>
    <row r="818" ht="15.75" customHeight="1" s="48"/>
    <row r="819" ht="15.75" customHeight="1" s="48"/>
    <row r="820" ht="15.75" customHeight="1" s="48"/>
    <row r="821" ht="15.75" customHeight="1" s="48"/>
    <row r="822" ht="15.75" customHeight="1" s="48"/>
    <row r="823" ht="15.75" customHeight="1" s="48"/>
    <row r="824" ht="15.75" customHeight="1" s="48"/>
    <row r="825" ht="15.75" customHeight="1" s="48"/>
    <row r="826" ht="15.75" customHeight="1" s="48"/>
    <row r="827" ht="15.75" customHeight="1" s="48"/>
    <row r="828" ht="15.75" customHeight="1" s="48"/>
    <row r="829" ht="15.75" customHeight="1" s="48"/>
    <row r="830" ht="15.75" customHeight="1" s="48"/>
    <row r="831" ht="15.75" customHeight="1" s="48"/>
    <row r="832" ht="15.75" customHeight="1" s="48"/>
    <row r="833" ht="15.75" customHeight="1" s="48"/>
    <row r="834" ht="15.75" customHeight="1" s="48"/>
    <row r="835" ht="15.75" customHeight="1" s="48"/>
    <row r="836" ht="15.75" customHeight="1" s="48"/>
    <row r="837" ht="15.75" customHeight="1" s="48"/>
    <row r="838" ht="15.75" customHeight="1" s="48"/>
    <row r="839" ht="15.75" customHeight="1" s="48"/>
    <row r="840" ht="15.75" customHeight="1" s="48"/>
    <row r="841" ht="15.75" customHeight="1" s="48"/>
    <row r="842" ht="15.75" customHeight="1" s="48"/>
    <row r="843" ht="15.75" customHeight="1" s="48"/>
    <row r="844" ht="15.75" customHeight="1" s="48"/>
    <row r="845" ht="15.75" customHeight="1" s="48"/>
    <row r="846" ht="15.75" customHeight="1" s="48"/>
    <row r="847" ht="15.75" customHeight="1" s="48"/>
    <row r="848" ht="15.75" customHeight="1" s="48"/>
    <row r="849" ht="15.75" customHeight="1" s="48"/>
    <row r="850" ht="15.75" customHeight="1" s="48"/>
    <row r="851" ht="15.75" customHeight="1" s="48"/>
    <row r="852" ht="15.75" customHeight="1" s="48"/>
    <row r="853" ht="15.75" customHeight="1" s="48"/>
    <row r="854" ht="15.75" customHeight="1" s="48"/>
    <row r="855" ht="15.75" customHeight="1" s="48"/>
    <row r="856" ht="15.75" customHeight="1" s="48"/>
    <row r="857" ht="15.75" customHeight="1" s="48"/>
    <row r="858" ht="15.75" customHeight="1" s="48"/>
    <row r="859" ht="15.75" customHeight="1" s="48"/>
    <row r="860" ht="15.75" customHeight="1" s="48"/>
    <row r="861" ht="15.75" customHeight="1" s="48"/>
    <row r="862" ht="15.75" customHeight="1" s="48"/>
    <row r="863" ht="15.75" customHeight="1" s="48"/>
    <row r="864" ht="15.75" customHeight="1" s="48"/>
    <row r="865" ht="15.75" customHeight="1" s="48"/>
    <row r="866" ht="15.75" customHeight="1" s="48"/>
    <row r="867" ht="15.75" customHeight="1" s="48"/>
    <row r="868" ht="15.75" customHeight="1" s="48"/>
    <row r="869" ht="15.75" customHeight="1" s="48"/>
    <row r="870" ht="15.75" customHeight="1" s="48"/>
    <row r="871" ht="15.75" customHeight="1" s="48"/>
    <row r="872" ht="15.75" customHeight="1" s="48"/>
    <row r="873" ht="15.75" customHeight="1" s="48"/>
    <row r="874" ht="15.75" customHeight="1" s="48"/>
    <row r="875" ht="15.75" customHeight="1" s="48"/>
    <row r="876" ht="15.75" customHeight="1" s="48"/>
    <row r="877" ht="15.75" customHeight="1" s="48"/>
    <row r="878" ht="15.75" customHeight="1" s="48"/>
    <row r="879" ht="15.75" customHeight="1" s="48"/>
    <row r="880" ht="15.75" customHeight="1" s="48"/>
    <row r="881" ht="15.75" customHeight="1" s="48"/>
    <row r="882" ht="15.75" customHeight="1" s="48"/>
    <row r="883" ht="15.75" customHeight="1" s="48"/>
    <row r="884" ht="15.75" customHeight="1" s="48"/>
    <row r="885" ht="15.75" customHeight="1" s="48"/>
    <row r="886" ht="15.75" customHeight="1" s="48"/>
    <row r="887" ht="15.75" customHeight="1" s="48"/>
    <row r="888" ht="15.75" customHeight="1" s="48"/>
    <row r="889" ht="15.75" customHeight="1" s="48"/>
    <row r="890" ht="15.75" customHeight="1" s="48"/>
    <row r="891" ht="15.75" customHeight="1" s="48"/>
    <row r="892" ht="15.75" customHeight="1" s="48"/>
    <row r="893" ht="15.75" customHeight="1" s="48"/>
    <row r="894" ht="15.75" customHeight="1" s="48"/>
    <row r="895" ht="15.75" customHeight="1" s="48"/>
    <row r="896" ht="15.75" customHeight="1" s="48"/>
    <row r="897" ht="15.75" customHeight="1" s="48"/>
    <row r="898" ht="15.75" customHeight="1" s="48"/>
    <row r="899" ht="15.75" customHeight="1" s="48"/>
    <row r="900" ht="15.75" customHeight="1" s="48"/>
    <row r="901" ht="15.75" customHeight="1" s="48"/>
    <row r="902" ht="15.75" customHeight="1" s="48"/>
    <row r="903" ht="15.75" customHeight="1" s="48"/>
    <row r="904" ht="15.75" customHeight="1" s="48"/>
    <row r="905" ht="15.75" customHeight="1" s="48"/>
    <row r="906" ht="15.75" customHeight="1" s="48"/>
    <row r="907" ht="15.75" customHeight="1" s="48"/>
    <row r="908" ht="15.75" customHeight="1" s="48"/>
    <row r="909" ht="15.75" customHeight="1" s="48"/>
    <row r="910" ht="15.75" customHeight="1" s="48"/>
    <row r="911" ht="15.75" customHeight="1" s="48"/>
    <row r="912" ht="15.75" customHeight="1" s="48"/>
    <row r="913" ht="15.75" customHeight="1" s="48"/>
    <row r="914" ht="15.75" customHeight="1" s="48"/>
    <row r="915" ht="15.75" customHeight="1" s="48"/>
    <row r="916" ht="15.75" customHeight="1" s="48"/>
    <row r="917" ht="15.75" customHeight="1" s="48"/>
    <row r="918" ht="15.75" customHeight="1" s="48"/>
    <row r="919" ht="15.75" customHeight="1" s="48"/>
    <row r="920" ht="15.75" customHeight="1" s="48"/>
    <row r="921" ht="15.75" customHeight="1" s="48"/>
    <row r="922" ht="15.75" customHeight="1" s="48"/>
    <row r="923" ht="15.75" customHeight="1" s="48"/>
    <row r="924" ht="15.75" customHeight="1" s="48"/>
    <row r="925" ht="15.75" customHeight="1" s="48"/>
    <row r="926" ht="15.75" customHeight="1" s="48"/>
    <row r="927" ht="15.75" customHeight="1" s="48"/>
    <row r="928" ht="15.75" customHeight="1" s="48"/>
    <row r="929" ht="15.75" customHeight="1" s="48"/>
    <row r="930" ht="15.75" customHeight="1" s="48"/>
    <row r="931" ht="15.75" customHeight="1" s="48"/>
    <row r="932" ht="15.75" customHeight="1" s="48"/>
    <row r="933" ht="15.75" customHeight="1" s="48"/>
    <row r="934" ht="15.75" customHeight="1" s="48"/>
    <row r="935" ht="15.75" customHeight="1" s="48"/>
    <row r="936" ht="15.75" customHeight="1" s="48"/>
    <row r="937" ht="15.75" customHeight="1" s="48"/>
    <row r="938" ht="15.75" customHeight="1" s="48"/>
    <row r="939" ht="15.75" customHeight="1" s="48"/>
    <row r="940" ht="15.75" customHeight="1" s="48"/>
    <row r="941" ht="15.75" customHeight="1" s="48"/>
    <row r="942" ht="15.75" customHeight="1" s="48"/>
    <row r="943" ht="15.75" customHeight="1" s="48"/>
    <row r="944" ht="15.75" customHeight="1" s="48"/>
    <row r="945" ht="15.75" customHeight="1" s="48"/>
    <row r="946" ht="15.75" customHeight="1" s="48"/>
    <row r="947" ht="15.75" customHeight="1" s="48"/>
    <row r="948" ht="15.75" customHeight="1" s="48"/>
    <row r="949" ht="15.75" customHeight="1" s="48"/>
    <row r="950" ht="15.75" customHeight="1" s="48"/>
    <row r="951" ht="15.75" customHeight="1" s="48"/>
    <row r="952" ht="15.75" customHeight="1" s="48"/>
    <row r="953" ht="15.75" customHeight="1" s="48"/>
    <row r="954" ht="15.75" customHeight="1" s="48"/>
    <row r="955" ht="15.75" customHeight="1" s="48"/>
    <row r="956" ht="15.75" customHeight="1" s="48"/>
    <row r="957" ht="15.75" customHeight="1" s="48"/>
    <row r="958" ht="15.75" customHeight="1" s="48"/>
    <row r="959" ht="15.75" customHeight="1" s="48"/>
    <row r="960" ht="15.75" customHeight="1" s="48"/>
    <row r="961" ht="15.75" customHeight="1" s="48"/>
    <row r="962" ht="15.75" customHeight="1" s="48"/>
    <row r="963" ht="15.75" customHeight="1" s="48"/>
    <row r="964" ht="15.75" customHeight="1" s="48"/>
    <row r="965" ht="15.75" customHeight="1" s="48"/>
    <row r="966" ht="15.75" customHeight="1" s="48"/>
    <row r="967" ht="15.75" customHeight="1" s="48"/>
    <row r="968" ht="15.75" customHeight="1" s="48"/>
    <row r="969" ht="15.75" customHeight="1" s="48"/>
    <row r="970" ht="15.75" customHeight="1" s="48"/>
    <row r="971" ht="15.75" customHeight="1" s="48"/>
    <row r="972" ht="15.75" customHeight="1" s="48"/>
    <row r="973" ht="15.75" customHeight="1" s="48"/>
    <row r="974" ht="15.75" customHeight="1" s="48"/>
    <row r="975" ht="15.75" customHeight="1" s="48"/>
    <row r="976" ht="15.75" customHeight="1" s="48"/>
    <row r="977" ht="15.75" customHeight="1" s="48"/>
    <row r="978" ht="15.75" customHeight="1" s="48"/>
    <row r="979" ht="15.75" customHeight="1" s="48"/>
    <row r="980" ht="15.75" customHeight="1" s="48"/>
    <row r="981" ht="15.75" customHeight="1" s="48"/>
    <row r="982" ht="15.75" customHeight="1" s="48"/>
    <row r="983" ht="15.75" customHeight="1" s="48"/>
    <row r="984" ht="15.75" customHeight="1" s="48"/>
    <row r="985" ht="15.75" customHeight="1" s="48"/>
    <row r="986" ht="15.75" customHeight="1" s="48"/>
    <row r="987" ht="15.75" customHeight="1" s="48"/>
    <row r="988" ht="15.75" customHeight="1" s="48"/>
    <row r="989" ht="15.75" customHeight="1" s="48"/>
    <row r="990" ht="15.75" customHeight="1" s="48"/>
    <row r="991" ht="15.75" customHeight="1" s="48"/>
    <row r="992" ht="15.75" customHeight="1" s="48"/>
    <row r="993" ht="15.75" customHeight="1" s="48"/>
    <row r="994" ht="15.75" customHeight="1" s="48"/>
    <row r="995" ht="15.75" customHeight="1" s="48"/>
    <row r="996" ht="15.75" customHeight="1" s="48"/>
    <row r="997" ht="15.75" customHeight="1" s="48"/>
    <row r="998" ht="15.75" customHeight="1" s="48"/>
    <row r="999" ht="15.75" customHeight="1" s="48"/>
    <row r="1000" ht="15.75" customHeight="1" s="48"/>
  </sheetData>
  <hyperlinks>
    <hyperlink xmlns:r="http://schemas.openxmlformats.org/officeDocument/2006/relationships" ref="H2" r:id="rId1"/>
    <hyperlink xmlns:r="http://schemas.openxmlformats.org/officeDocument/2006/relationships" ref="J2" r:id="rId2"/>
    <hyperlink xmlns:r="http://schemas.openxmlformats.org/officeDocument/2006/relationships" ref="H3" r:id="rId3"/>
    <hyperlink xmlns:r="http://schemas.openxmlformats.org/officeDocument/2006/relationships" ref="J3" r:id="rId4"/>
    <hyperlink xmlns:r="http://schemas.openxmlformats.org/officeDocument/2006/relationships" ref="H4" r:id="rId5"/>
    <hyperlink xmlns:r="http://schemas.openxmlformats.org/officeDocument/2006/relationships" ref="J4" r:id="rId6"/>
    <hyperlink xmlns:r="http://schemas.openxmlformats.org/officeDocument/2006/relationships" ref="M4" r:id="rId7"/>
    <hyperlink xmlns:r="http://schemas.openxmlformats.org/officeDocument/2006/relationships" ref="H5" r:id="rId8"/>
    <hyperlink xmlns:r="http://schemas.openxmlformats.org/officeDocument/2006/relationships" ref="J5" r:id="rId9"/>
    <hyperlink xmlns:r="http://schemas.openxmlformats.org/officeDocument/2006/relationships" ref="H6" r:id="rId10"/>
    <hyperlink xmlns:r="http://schemas.openxmlformats.org/officeDocument/2006/relationships" ref="J6" r:id="rId11"/>
    <hyperlink xmlns:r="http://schemas.openxmlformats.org/officeDocument/2006/relationships" ref="H7" r:id="rId12"/>
    <hyperlink xmlns:r="http://schemas.openxmlformats.org/officeDocument/2006/relationships" ref="J7" r:id="rId13"/>
    <hyperlink xmlns:r="http://schemas.openxmlformats.org/officeDocument/2006/relationships" ref="J8" r:id="rId14"/>
    <hyperlink xmlns:r="http://schemas.openxmlformats.org/officeDocument/2006/relationships" ref="H9" r:id="rId15"/>
    <hyperlink xmlns:r="http://schemas.openxmlformats.org/officeDocument/2006/relationships" ref="J9" r:id="rId16"/>
    <hyperlink xmlns:r="http://schemas.openxmlformats.org/officeDocument/2006/relationships" ref="H10" r:id="rId17"/>
    <hyperlink xmlns:r="http://schemas.openxmlformats.org/officeDocument/2006/relationships" ref="J10" r:id="rId18"/>
    <hyperlink xmlns:r="http://schemas.openxmlformats.org/officeDocument/2006/relationships" ref="H11" r:id="rId19"/>
    <hyperlink xmlns:r="http://schemas.openxmlformats.org/officeDocument/2006/relationships" ref="J11" r:id="rId20"/>
    <hyperlink xmlns:r="http://schemas.openxmlformats.org/officeDocument/2006/relationships" ref="H12" r:id="rId21"/>
    <hyperlink xmlns:r="http://schemas.openxmlformats.org/officeDocument/2006/relationships" ref="J12" r:id="rId22"/>
    <hyperlink xmlns:r="http://schemas.openxmlformats.org/officeDocument/2006/relationships" ref="H13" r:id="rId23"/>
    <hyperlink xmlns:r="http://schemas.openxmlformats.org/officeDocument/2006/relationships" ref="J13" r:id="rId24"/>
    <hyperlink xmlns:r="http://schemas.openxmlformats.org/officeDocument/2006/relationships" ref="H14" r:id="rId25"/>
    <hyperlink xmlns:r="http://schemas.openxmlformats.org/officeDocument/2006/relationships" ref="J14" r:id="rId26"/>
    <hyperlink xmlns:r="http://schemas.openxmlformats.org/officeDocument/2006/relationships" ref="M14" r:id="rId27"/>
    <hyperlink xmlns:r="http://schemas.openxmlformats.org/officeDocument/2006/relationships" ref="H16" r:id="rId28"/>
    <hyperlink xmlns:r="http://schemas.openxmlformats.org/officeDocument/2006/relationships" ref="H17" r:id="rId29"/>
    <hyperlink xmlns:r="http://schemas.openxmlformats.org/officeDocument/2006/relationships" ref="J17" r:id="rId30"/>
    <hyperlink xmlns:r="http://schemas.openxmlformats.org/officeDocument/2006/relationships" ref="M17" r:id="rId31"/>
    <hyperlink xmlns:r="http://schemas.openxmlformats.org/officeDocument/2006/relationships" ref="J18" r:id="rId32"/>
    <hyperlink xmlns:r="http://schemas.openxmlformats.org/officeDocument/2006/relationships" ref="H19" r:id="rId33"/>
    <hyperlink xmlns:r="http://schemas.openxmlformats.org/officeDocument/2006/relationships" ref="J19" r:id="rId34"/>
    <hyperlink xmlns:r="http://schemas.openxmlformats.org/officeDocument/2006/relationships" ref="M19" r:id="rId35"/>
    <hyperlink xmlns:r="http://schemas.openxmlformats.org/officeDocument/2006/relationships" ref="J20" r:id="rId36"/>
    <hyperlink xmlns:r="http://schemas.openxmlformats.org/officeDocument/2006/relationships" ref="H21" r:id="rId37"/>
    <hyperlink xmlns:r="http://schemas.openxmlformats.org/officeDocument/2006/relationships" ref="J21" r:id="rId38"/>
    <hyperlink xmlns:r="http://schemas.openxmlformats.org/officeDocument/2006/relationships" ref="K23" r:id="rId39"/>
    <hyperlink xmlns:r="http://schemas.openxmlformats.org/officeDocument/2006/relationships" ref="K24" r:id="rId40"/>
    <hyperlink xmlns:r="http://schemas.openxmlformats.org/officeDocument/2006/relationships" ref="M24" r:id="rId41"/>
    <hyperlink xmlns:r="http://schemas.openxmlformats.org/officeDocument/2006/relationships" ref="K26" r:id="rId42"/>
    <hyperlink xmlns:r="http://schemas.openxmlformats.org/officeDocument/2006/relationships" ref="K27" r:id="rId43"/>
    <hyperlink xmlns:r="http://schemas.openxmlformats.org/officeDocument/2006/relationships" ref="M27" r:id="rId44"/>
    <hyperlink xmlns:r="http://schemas.openxmlformats.org/officeDocument/2006/relationships" ref="K29" r:id="rId45"/>
    <hyperlink xmlns:r="http://schemas.openxmlformats.org/officeDocument/2006/relationships" ref="K30" r:id="rId46"/>
    <hyperlink xmlns:r="http://schemas.openxmlformats.org/officeDocument/2006/relationships" ref="K31" r:id="rId47"/>
    <hyperlink xmlns:r="http://schemas.openxmlformats.org/officeDocument/2006/relationships" ref="M31" r:id="rId48"/>
    <hyperlink xmlns:r="http://schemas.openxmlformats.org/officeDocument/2006/relationships" ref="K33" r:id="rId49"/>
    <hyperlink xmlns:r="http://schemas.openxmlformats.org/officeDocument/2006/relationships" ref="M33" r:id="rId50"/>
    <hyperlink xmlns:r="http://schemas.openxmlformats.org/officeDocument/2006/relationships" ref="K34" r:id="rId51"/>
    <hyperlink xmlns:r="http://schemas.openxmlformats.org/officeDocument/2006/relationships" ref="K35" r:id="rId52"/>
    <hyperlink xmlns:r="http://schemas.openxmlformats.org/officeDocument/2006/relationships" ref="K36" r:id="rId53"/>
    <hyperlink xmlns:r="http://schemas.openxmlformats.org/officeDocument/2006/relationships" ref="M36" r:id="rId54"/>
    <hyperlink xmlns:r="http://schemas.openxmlformats.org/officeDocument/2006/relationships" ref="M38" r:id="rId55"/>
    <hyperlink xmlns:r="http://schemas.openxmlformats.org/officeDocument/2006/relationships" ref="K39" r:id="rId56"/>
    <hyperlink xmlns:r="http://schemas.openxmlformats.org/officeDocument/2006/relationships" ref="K40" r:id="rId57"/>
    <hyperlink xmlns:r="http://schemas.openxmlformats.org/officeDocument/2006/relationships" ref="K42" r:id="rId58"/>
  </hyperlinks>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 customHeight="1"/>
  <cols>
    <col width="66.25" customWidth="1" style="48" min="1" max="1"/>
    <col width="13.88" customWidth="1" style="48" min="2" max="2"/>
    <col width="10.13" customWidth="1" style="48" min="3" max="3"/>
    <col width="307.63" customWidth="1" style="48" min="4" max="4"/>
    <col width="5.75" customWidth="1" style="48" min="5" max="5"/>
    <col width="11.25" customWidth="1" style="48" min="6" max="6"/>
    <col width="9.630000000000001" customWidth="1" style="48" min="7" max="7"/>
    <col width="15" customWidth="1" style="48" min="8" max="8"/>
    <col width="91.88" customWidth="1" style="48" min="9" max="9"/>
  </cols>
  <sheetData>
    <row r="1" ht="15.75" customHeight="1" s="48">
      <c r="A1" s="3" t="inlineStr">
        <is>
          <t>Business Name</t>
        </is>
      </c>
      <c r="B1" s="3" t="inlineStr">
        <is>
          <t>City</t>
        </is>
      </c>
      <c r="C1" s="3" t="inlineStr">
        <is>
          <t>Phone</t>
        </is>
      </c>
      <c r="D1" s="3" t="inlineStr">
        <is>
          <t>Website</t>
        </is>
      </c>
      <c r="E1" s="3" t="inlineStr">
        <is>
          <t>Rating</t>
        </is>
      </c>
      <c r="F1" s="3" t="inlineStr">
        <is>
          <t>Review Count</t>
        </is>
      </c>
      <c r="G1" s="3" t="inlineStr">
        <is>
          <t>Is Franchise</t>
        </is>
      </c>
      <c r="H1" s="3" t="inlineStr">
        <is>
          <t>Tier</t>
        </is>
      </c>
      <c r="I1" s="1" t="inlineStr">
        <is>
          <t>Notes</t>
        </is>
      </c>
      <c r="J1" s="1" t="inlineStr">
        <is>
          <t>Names</t>
        </is>
      </c>
    </row>
    <row r="2" ht="15.75" customHeight="1" s="48">
      <c r="A2" s="3" t="inlineStr">
        <is>
          <t>C&amp;M Air Conditioning And Heating Inc</t>
        </is>
      </c>
      <c r="B2" s="3" t="inlineStr">
        <is>
          <t>Pasadena, CA</t>
        </is>
      </c>
      <c r="C2" s="3">
        <f>+1 213-884-7183</f>
        <v/>
      </c>
      <c r="D2" s="4" t="inlineStr">
        <is>
          <t>https://cm-hvacservice.com/</t>
        </is>
      </c>
      <c r="E2" s="5" t="n">
        <v>5</v>
      </c>
      <c r="F2" s="5" t="n">
        <v>47</v>
      </c>
      <c r="G2" s="3" t="inlineStr">
        <is>
          <t>NO</t>
        </is>
      </c>
      <c r="H2" s="3" t="inlineStr">
        <is>
          <t>TIER 1 - HOT</t>
        </is>
      </c>
      <c r="I2" s="1" t="inlineStr">
        <is>
          <t>Pros:
They have nice scroll actions, google my business has 5 star review and 47 reviews. 
Cons: 
The placement of text, no reviews on website that are visible on first page.
Just images of their prduct but nothing about their team.
Button layput in header.
Hero section has to much text.</t>
        </is>
      </c>
      <c r="J2" s="1" t="inlineStr">
        <is>
          <t>Tino</t>
        </is>
      </c>
    </row>
    <row r="3" ht="15.75" customHeight="1" s="48">
      <c r="A3" s="3" t="inlineStr">
        <is>
          <t>The Air Conditioning Guy</t>
        </is>
      </c>
      <c r="B3" s="3" t="inlineStr">
        <is>
          <t>Pasadena, CA</t>
        </is>
      </c>
      <c r="C3" s="3">
        <f>+1 626-872-3650</f>
        <v/>
      </c>
      <c r="D3" s="4" t="inlineStr">
        <is>
          <t>https://theaircoguy.com/</t>
        </is>
      </c>
      <c r="E3" s="5" t="n">
        <v>5</v>
      </c>
      <c r="F3" s="5" t="n">
        <v>94</v>
      </c>
      <c r="G3" s="3" t="inlineStr">
        <is>
          <t>NO</t>
        </is>
      </c>
      <c r="H3" s="3" t="inlineStr">
        <is>
          <t>TIER 1 - HOT</t>
        </is>
      </c>
      <c r="I3" s="1" t="inlineStr">
        <is>
          <t>Pros:
They have alot of reviews ot leverage on google my business. 
Owner Name: Juan
Cons: 
Questions chatbot is not instant gratification so people will leave if they do not get a response withint 5min.
Stock images and no images of team.
97 reviews so they can show they work they did.
Place their reviews higher than 
No social links in header.
Go daddy template website.</t>
        </is>
      </c>
    </row>
    <row r="4" ht="15.75" customHeight="1" s="48">
      <c r="A4" s="3" t="inlineStr">
        <is>
          <t>Lindsey's Heat &amp; Air</t>
        </is>
      </c>
      <c r="B4" s="3" t="inlineStr">
        <is>
          <t>Pasadena, CA</t>
        </is>
      </c>
      <c r="C4" s="3">
        <f>+1 626-794-1191</f>
        <v/>
      </c>
      <c r="D4" s="4" t="inlineStr">
        <is>
          <t>http://lindseysheatandair.com/</t>
        </is>
      </c>
      <c r="E4" s="5" t="n">
        <v>4.8</v>
      </c>
      <c r="F4" s="5" t="n">
        <v>21</v>
      </c>
      <c r="G4" s="3" t="inlineStr">
        <is>
          <t>NO</t>
        </is>
      </c>
      <c r="H4" s="3" t="inlineStr">
        <is>
          <t>TIER 1 - HOT</t>
        </is>
      </c>
      <c r="I4" s="1" t="inlineStr">
        <is>
          <t>Pro:
Have reviews on yelp but could be better by embedding that on the home page
Cons:
Hero section has a photo of the team lacking a CTA to lookat more services and reviews.
Reviews are hardcoded will he go to his programer t ask to add those reviews.
No trust badges or certifications.</t>
        </is>
      </c>
    </row>
    <row r="5" ht="15.75" customHeight="1" s="48">
      <c r="A5" s="6" t="inlineStr">
        <is>
          <t>Duarte Heating &amp; Air Conditioning</t>
        </is>
      </c>
      <c r="B5" s="6" t="inlineStr">
        <is>
          <t>Pasadena, CA</t>
        </is>
      </c>
      <c r="C5" s="6">
        <f>+1 626-470-6107</f>
        <v/>
      </c>
      <c r="D5" s="7" t="inlineStr">
        <is>
          <t>http://duarte-ac-repair.com/</t>
        </is>
      </c>
      <c r="E5" s="8" t="n">
        <v>5</v>
      </c>
      <c r="F5" s="8" t="n">
        <v>64</v>
      </c>
      <c r="G5" s="6" t="inlineStr">
        <is>
          <t>NO</t>
        </is>
      </c>
      <c r="H5" s="6" t="inlineStr">
        <is>
          <t>TIER 1 - HOT</t>
        </is>
      </c>
      <c r="I5" s="9" t="n"/>
      <c r="J5" s="9" t="n"/>
      <c r="K5" s="9" t="n"/>
      <c r="L5" s="9" t="n"/>
      <c r="M5" s="9" t="n"/>
      <c r="N5" s="9" t="n"/>
      <c r="O5" s="9" t="n"/>
      <c r="P5" s="9" t="n"/>
      <c r="Q5" s="9" t="n"/>
      <c r="R5" s="9" t="n"/>
      <c r="S5" s="9" t="n"/>
      <c r="T5" s="9" t="n"/>
      <c r="U5" s="9" t="n"/>
      <c r="V5" s="9" t="n"/>
      <c r="W5" s="9" t="n"/>
      <c r="X5" s="9" t="n"/>
      <c r="Y5" s="9" t="n"/>
      <c r="Z5" s="9" t="n"/>
    </row>
    <row r="6" ht="15.75" customHeight="1" s="48">
      <c r="A6" s="3" t="inlineStr">
        <is>
          <t>AC Tech Inc.</t>
        </is>
      </c>
      <c r="B6" s="3" t="inlineStr">
        <is>
          <t>Pasadena, CA</t>
        </is>
      </c>
      <c r="C6" s="3">
        <f>+1 626-689-8068</f>
        <v/>
      </c>
      <c r="D6" s="4" t="inlineStr">
        <is>
          <t>https://www.kcairandheat.com/?utm_source=google&amp;utm_medium=organic&amp;utm_campaign=gbp</t>
        </is>
      </c>
      <c r="E6" s="5" t="n">
        <v>5</v>
      </c>
      <c r="F6" s="5" t="n">
        <v>10</v>
      </c>
      <c r="G6" s="3" t="inlineStr">
        <is>
          <t>NO</t>
        </is>
      </c>
      <c r="H6" s="3" t="inlineStr">
        <is>
          <t>TIER 1 - HOT</t>
        </is>
      </c>
      <c r="I6" s="1" t="inlineStr">
        <is>
          <t>Pro:
They have digital presence
Cons:
The Hero section could be more personlized with regards to how the Hero looks like. 
Add reviews on the main landing page.
Have the certified badges higher up. 
Placement of images and text.</t>
        </is>
      </c>
    </row>
    <row r="7" ht="15.75" customHeight="1" s="48">
      <c r="A7" s="6" t="inlineStr">
        <is>
          <t>Lane's Air Conditioning &amp; Heating, Inc.</t>
        </is>
      </c>
      <c r="B7" s="6" t="inlineStr">
        <is>
          <t>Pasadena, CA</t>
        </is>
      </c>
      <c r="C7" s="6">
        <f>+1 626-303-4168</f>
        <v/>
      </c>
      <c r="D7" s="7" t="inlineStr">
        <is>
          <t>http://lanesair.com/</t>
        </is>
      </c>
      <c r="E7" s="8" t="n">
        <v>4.8</v>
      </c>
      <c r="F7" s="8" t="n">
        <v>20</v>
      </c>
      <c r="G7" s="6" t="inlineStr">
        <is>
          <t>NO</t>
        </is>
      </c>
      <c r="H7" s="6" t="inlineStr">
        <is>
          <t>TIER 1 - HOT</t>
        </is>
      </c>
      <c r="I7" s="9" t="n"/>
      <c r="J7" s="9" t="n"/>
      <c r="K7" s="9" t="n"/>
      <c r="L7" s="9" t="n"/>
      <c r="M7" s="9" t="n"/>
      <c r="N7" s="9" t="n"/>
      <c r="O7" s="9" t="n"/>
      <c r="P7" s="9" t="n"/>
      <c r="Q7" s="9" t="n"/>
      <c r="R7" s="9" t="n"/>
      <c r="S7" s="9" t="n"/>
      <c r="T7" s="9" t="n"/>
      <c r="U7" s="9" t="n"/>
      <c r="V7" s="9" t="n"/>
      <c r="W7" s="9" t="n"/>
      <c r="X7" s="9" t="n"/>
      <c r="Y7" s="9" t="n"/>
      <c r="Z7" s="9" t="n"/>
    </row>
    <row r="8" ht="15.75" customHeight="1" s="48">
      <c r="A8" s="3" t="inlineStr">
        <is>
          <t>San Francisco Expert Heating and Air</t>
        </is>
      </c>
      <c r="B8" s="3" t="inlineStr">
        <is>
          <t>San Francisco, CA</t>
        </is>
      </c>
      <c r="C8" s="3">
        <f>+1 415-371-9413</f>
        <v/>
      </c>
      <c r="D8" s="4" t="inlineStr">
        <is>
          <t>http://sanfranciscoexprethvac.com/</t>
        </is>
      </c>
      <c r="E8" s="5" t="n">
        <v>4.9</v>
      </c>
      <c r="F8" s="5" t="n">
        <v>69</v>
      </c>
      <c r="G8" s="3" t="inlineStr">
        <is>
          <t>NO</t>
        </is>
      </c>
      <c r="H8" s="3" t="inlineStr">
        <is>
          <t>TIER 1 - HOT</t>
        </is>
      </c>
      <c r="I8" s="1" t="inlineStr">
        <is>
          <t>Pro:
Cons:
Stock images, No trust and personilization,no instant quote getter.
Horrible Hero section, nothing enticing about Hero. Horrible CTA.
No trust built.
No reviews.</t>
        </is>
      </c>
    </row>
    <row r="9" ht="15.75" customHeight="1" s="48">
      <c r="A9" s="3" t="inlineStr">
        <is>
          <t>Associated Heating of San Francisco</t>
        </is>
      </c>
      <c r="B9" s="3" t="inlineStr">
        <is>
          <t>San Francisco, CA</t>
        </is>
      </c>
      <c r="C9" s="3">
        <f>+1 415-585-0145</f>
        <v/>
      </c>
      <c r="D9" s="4" t="inlineStr">
        <is>
          <t>http://www.associatedheatingsf.com/</t>
        </is>
      </c>
      <c r="E9" s="5" t="n">
        <v>4.8</v>
      </c>
      <c r="F9" s="5" t="n">
        <v>29</v>
      </c>
      <c r="G9" s="3" t="inlineStr">
        <is>
          <t>NO</t>
        </is>
      </c>
      <c r="H9" s="3" t="inlineStr">
        <is>
          <t>TIER 1 - HOT</t>
        </is>
      </c>
      <c r="I9" s="1" t="inlineStr">
        <is>
          <t>Pros:
Enough reviews to show off your trust
Cons:
No custom built website, 
Short one page website but no trust building.
Very little information given on website about what they have to offer.
Nothing about your team etc.</t>
        </is>
      </c>
    </row>
    <row r="10" ht="15.75" customHeight="1" s="48">
      <c r="A10" s="3" t="inlineStr">
        <is>
          <t>Inner Sunset Top Heating and Air</t>
        </is>
      </c>
      <c r="B10" s="3" t="inlineStr">
        <is>
          <t>San Francisco, CA</t>
        </is>
      </c>
      <c r="C10" s="3">
        <f>+1 415-592-6313</f>
        <v/>
      </c>
      <c r="D10" s="10" t="inlineStr">
        <is>
          <t>http://innersunsettophvacrepair.com/</t>
        </is>
      </c>
      <c r="E10" s="5" t="n">
        <v>5</v>
      </c>
      <c r="F10" s="5" t="n">
        <v>32</v>
      </c>
      <c r="G10" s="3" t="inlineStr">
        <is>
          <t>NO</t>
        </is>
      </c>
      <c r="H10" s="3" t="inlineStr">
        <is>
          <t>TIER 1 - HOT</t>
        </is>
      </c>
      <c r="I10" s="1" t="inlineStr">
        <is>
          <t>Cons:
No reviews, not enough valueable information, what we offer section is good to add but it is ablut the placement of this section.
No leveraging reviews on your website.
Short 1 page site not enough information to build trust,Opened in 2004
Are you getting clients from your website? How many? 
Do you track the clients you get from your website?
Do you only do word of mouth I see you have no scoail media?</t>
        </is>
      </c>
    </row>
    <row r="11" ht="15.75" customHeight="1" s="48">
      <c r="A11" s="3" t="inlineStr">
        <is>
          <t>Acosta Heating &amp; Sheet Metal</t>
        </is>
      </c>
      <c r="B11" s="3" t="inlineStr">
        <is>
          <t>San Francisco, CA</t>
        </is>
      </c>
      <c r="C11" s="3">
        <f>+1 415-751-0732</f>
        <v/>
      </c>
      <c r="D11" s="10" t="inlineStr">
        <is>
          <t>https://acostaheatingandair.com/</t>
        </is>
      </c>
      <c r="E11" s="5" t="n">
        <v>5</v>
      </c>
      <c r="F11" s="5" t="n">
        <v>17</v>
      </c>
      <c r="G11" s="3" t="inlineStr">
        <is>
          <t>NO</t>
        </is>
      </c>
      <c r="H11" s="3" t="inlineStr">
        <is>
          <t>TIER 1 - HOT</t>
        </is>
      </c>
      <c r="I11" s="1" t="inlineStr">
        <is>
          <t>Pros:
Marketing company by Emily Bernadi bu she has outdated templates, Does they do any form of ads,
Have reviews but do not leverage them
Cons:
Have no social media, 
No trust, alot of images but not leveraging their reviews on their page. Only have images about their
work but not about their reviews.Have no trust banners.Could show more their about us page and show their team.</t>
        </is>
      </c>
    </row>
    <row r="12" ht="15.75" customHeight="1" s="48">
      <c r="A12" s="6" t="inlineStr">
        <is>
          <t>Air Flow Pros Heating and Air Conditioning</t>
        </is>
      </c>
      <c r="B12" s="6" t="inlineStr">
        <is>
          <t>San Francisco, CA</t>
        </is>
      </c>
      <c r="C12" s="6">
        <f>+1 415-400-5140</f>
        <v/>
      </c>
      <c r="D12" s="7" t="inlineStr">
        <is>
          <t>https://www.afpheating.com/?utm_source=google&amp;utm_medium=organic&amp;utm_campaign=gbp</t>
        </is>
      </c>
      <c r="E12" s="8" t="n">
        <v>4.7</v>
      </c>
      <c r="F12" s="8" t="n">
        <v>35</v>
      </c>
      <c r="G12" s="6" t="inlineStr">
        <is>
          <t>NO</t>
        </is>
      </c>
      <c r="H12" s="6" t="inlineStr">
        <is>
          <t>TIER 1 - HOT</t>
        </is>
      </c>
      <c r="I12" s="9" t="n"/>
      <c r="J12" s="9" t="n"/>
      <c r="K12" s="9" t="n"/>
      <c r="L12" s="9" t="n"/>
      <c r="M12" s="9" t="n"/>
      <c r="N12" s="9" t="n"/>
      <c r="O12" s="9" t="n"/>
      <c r="P12" s="9" t="n"/>
      <c r="Q12" s="9" t="n"/>
      <c r="R12" s="9" t="n"/>
      <c r="S12" s="9" t="n"/>
      <c r="T12" s="9" t="n"/>
      <c r="U12" s="9" t="n"/>
      <c r="V12" s="9" t="n"/>
      <c r="W12" s="9" t="n"/>
      <c r="X12" s="9" t="n"/>
      <c r="Y12" s="9" t="n"/>
      <c r="Z12" s="9" t="n"/>
    </row>
    <row r="13" ht="15.75" customHeight="1" s="48">
      <c r="A13" s="3" t="inlineStr">
        <is>
          <t>Metro Heating Repair</t>
        </is>
      </c>
      <c r="B13" s="3" t="inlineStr">
        <is>
          <t>San Francisco, CA</t>
        </is>
      </c>
      <c r="C13" s="3">
        <f>+1 415-329-7687</f>
        <v/>
      </c>
      <c r="D13" s="4" t="inlineStr">
        <is>
          <t>https://metroheatingrepair.com/San-Francisco</t>
        </is>
      </c>
      <c r="E13" s="5" t="n">
        <v>5</v>
      </c>
      <c r="F13" s="5" t="n">
        <v>40</v>
      </c>
      <c r="G13" s="3" t="inlineStr">
        <is>
          <t>NO</t>
        </is>
      </c>
      <c r="H13" s="3" t="inlineStr">
        <is>
          <t>TIER 1 - HOT</t>
        </is>
      </c>
      <c r="I13" s="1" t="inlineStr">
        <is>
          <t>Pro:
Good website short of, 
Cons:
No reviews on home page and also in hero section,Alot of text on screen better placement, Alot of stcok images and using a better placement of 
service providers.
about us page has alot of raw text and no trust building.
Not workig with a marketing company so means they not running ads and do word of mouth</t>
        </is>
      </c>
    </row>
    <row r="14" ht="15.75" customHeight="1" s="48">
      <c r="A14" s="6" t="inlineStr">
        <is>
          <t>AC Heating and Cooling Service Inc.</t>
        </is>
      </c>
      <c r="B14" s="6" t="inlineStr">
        <is>
          <t>San Francisco, CA</t>
        </is>
      </c>
      <c r="C14" s="6">
        <f>+1 415-333-9903</f>
        <v/>
      </c>
      <c r="D14" s="7" t="inlineStr">
        <is>
          <t>https://www.acheatingandair.net/</t>
        </is>
      </c>
      <c r="E14" s="8" t="n">
        <v>4.4</v>
      </c>
      <c r="F14" s="8" t="n">
        <v>17</v>
      </c>
      <c r="G14" s="6" t="inlineStr">
        <is>
          <t>NO</t>
        </is>
      </c>
      <c r="H14" s="6" t="inlineStr">
        <is>
          <t>TIER 1 - HOT</t>
        </is>
      </c>
      <c r="I14" s="9" t="n"/>
      <c r="J14" s="9" t="n"/>
      <c r="K14" s="9" t="n"/>
      <c r="L14" s="9" t="n"/>
      <c r="M14" s="9" t="n"/>
      <c r="N14" s="9" t="n"/>
      <c r="O14" s="9" t="n"/>
      <c r="P14" s="9" t="n"/>
      <c r="Q14" s="9" t="n"/>
      <c r="R14" s="9" t="n"/>
      <c r="S14" s="9" t="n"/>
      <c r="T14" s="9" t="n"/>
      <c r="U14" s="9" t="n"/>
      <c r="V14" s="9" t="n"/>
      <c r="W14" s="9" t="n"/>
      <c r="X14" s="9" t="n"/>
      <c r="Y14" s="9" t="n"/>
      <c r="Z14" s="9" t="n"/>
    </row>
    <row r="15" ht="15.75" customHeight="1" s="48">
      <c r="A15" s="6" t="inlineStr">
        <is>
          <t>Cool Care Heating and Air Conditioning</t>
        </is>
      </c>
      <c r="B15" s="6" t="inlineStr">
        <is>
          <t>Houston, TX</t>
        </is>
      </c>
      <c r="C15" s="6">
        <f>+1 713-979-5132</f>
        <v/>
      </c>
      <c r="D15" s="7" t="inlineStr">
        <is>
          <t>https://www.coolcareac.com/?utm_source=gbp&amp;utm_medium=organic</t>
        </is>
      </c>
      <c r="E15" s="8" t="n">
        <v>5</v>
      </c>
      <c r="F15" s="8" t="n">
        <v>331</v>
      </c>
      <c r="G15" s="6" t="inlineStr">
        <is>
          <t>NO</t>
        </is>
      </c>
      <c r="H15" s="6" t="inlineStr">
        <is>
          <t>TIER 2 - WARM</t>
        </is>
      </c>
      <c r="I15" s="9" t="n"/>
      <c r="J15" s="9" t="n"/>
      <c r="K15" s="9" t="n"/>
      <c r="L15" s="9" t="n"/>
      <c r="M15" s="9" t="n"/>
      <c r="N15" s="9" t="n"/>
      <c r="O15" s="9" t="n"/>
      <c r="P15" s="9" t="n"/>
      <c r="Q15" s="9" t="n"/>
      <c r="R15" s="9" t="n"/>
      <c r="S15" s="9" t="n"/>
      <c r="T15" s="9" t="n"/>
      <c r="U15" s="9" t="n"/>
      <c r="V15" s="9" t="n"/>
      <c r="W15" s="9" t="n"/>
      <c r="X15" s="9" t="n"/>
      <c r="Y15" s="9" t="n"/>
      <c r="Z15" s="9" t="n"/>
    </row>
    <row r="16" ht="15.75" customHeight="1" s="48">
      <c r="A16" s="6" t="inlineStr">
        <is>
          <t>H-Town AC Repair HVAC services Houston</t>
        </is>
      </c>
      <c r="B16" s="6" t="inlineStr">
        <is>
          <t>Houston, TX</t>
        </is>
      </c>
      <c r="C16" s="6">
        <f>+1 832-404-2062</f>
        <v/>
      </c>
      <c r="D16" s="7" t="inlineStr">
        <is>
          <t>https://htownacrepair.com/</t>
        </is>
      </c>
      <c r="E16" s="8" t="n">
        <v>4.8</v>
      </c>
      <c r="F16" s="8" t="n">
        <v>252</v>
      </c>
      <c r="G16" s="6" t="inlineStr">
        <is>
          <t>NO</t>
        </is>
      </c>
      <c r="H16" s="6" t="inlineStr">
        <is>
          <t>TIER 2 - WARM</t>
        </is>
      </c>
      <c r="I16" s="9" t="n"/>
      <c r="J16" s="9" t="n"/>
      <c r="K16" s="9" t="n"/>
      <c r="L16" s="9" t="n"/>
      <c r="M16" s="9" t="n"/>
      <c r="N16" s="9" t="n"/>
      <c r="O16" s="9" t="n"/>
      <c r="P16" s="9" t="n"/>
      <c r="Q16" s="9" t="n"/>
      <c r="R16" s="9" t="n"/>
      <c r="S16" s="9" t="n"/>
      <c r="T16" s="9" t="n"/>
      <c r="U16" s="9" t="n"/>
      <c r="V16" s="9" t="n"/>
      <c r="W16" s="9" t="n"/>
      <c r="X16" s="9" t="n"/>
      <c r="Y16" s="9" t="n"/>
      <c r="Z16" s="9" t="n"/>
    </row>
    <row r="17" ht="15.75" customHeight="1" s="48">
      <c r="A17" s="6" t="inlineStr">
        <is>
          <t>Bellaire Air Conditioning</t>
        </is>
      </c>
      <c r="B17" s="6" t="inlineStr">
        <is>
          <t>Houston, TX</t>
        </is>
      </c>
      <c r="C17" s="6">
        <f>+1 713-428-2279</f>
        <v/>
      </c>
      <c r="D17" s="7" t="inlineStr">
        <is>
          <t>https://www.bellaireair.com/?utm_source=google&amp;utm_medium=organic&amp;utm_term=gbp</t>
        </is>
      </c>
      <c r="E17" s="8" t="n">
        <v>4.9</v>
      </c>
      <c r="F17" s="8" t="n">
        <v>459</v>
      </c>
      <c r="G17" s="6" t="inlineStr">
        <is>
          <t>NO</t>
        </is>
      </c>
      <c r="H17" s="6" t="inlineStr">
        <is>
          <t>TIER 2 - WARM</t>
        </is>
      </c>
      <c r="I17" s="9" t="n"/>
      <c r="J17" s="9" t="n"/>
      <c r="K17" s="9" t="n"/>
      <c r="L17" s="9" t="n"/>
      <c r="M17" s="9" t="n"/>
      <c r="N17" s="9" t="n"/>
      <c r="O17" s="9" t="n"/>
      <c r="P17" s="9" t="n"/>
      <c r="Q17" s="9" t="n"/>
      <c r="R17" s="9" t="n"/>
      <c r="S17" s="9" t="n"/>
      <c r="T17" s="9" t="n"/>
      <c r="U17" s="9" t="n"/>
      <c r="V17" s="9" t="n"/>
      <c r="W17" s="9" t="n"/>
      <c r="X17" s="9" t="n"/>
      <c r="Y17" s="9" t="n"/>
      <c r="Z17" s="9" t="n"/>
    </row>
    <row r="18" ht="15.75" customHeight="1" s="48">
      <c r="A18" s="6" t="inlineStr">
        <is>
          <t>Ace Comfort Air Conditioning &amp; Heating</t>
        </is>
      </c>
      <c r="B18" s="6" t="inlineStr">
        <is>
          <t>Houston, TX</t>
        </is>
      </c>
      <c r="C18" s="6">
        <f>+1 281-658-5141</f>
        <v/>
      </c>
      <c r="D18" s="7" t="inlineStr">
        <is>
          <t>https://book.housecallpro.com/book/Ace-Comfort-Air-Conditioning--Heating-LLC/b332c3320d634dda91dc983f29e6e26b?v2=true&amp;lead_source=google&amp;merchant_id=5db04b9c-7240-4c8f-8f1e-c5bba10030c2&amp;hl=en-ZA&amp;gei=tDaKaYj2HM-mhbIP54DAwAg&amp;rwg_token=AFd1xnFQL65iXB_Vo6ke4H5kUXIphXNQC1JEcXVule6XFXuuwO5Y4tfn644p1cbyCcdCsfU741gFAGbOq-NdiuWtwB1LW8wolQ%3D%3D&amp;source=cat</t>
        </is>
      </c>
      <c r="E18" s="8" t="n">
        <v>4.9</v>
      </c>
      <c r="F18" s="8" t="n">
        <v>176</v>
      </c>
      <c r="G18" s="6" t="inlineStr">
        <is>
          <t>NO</t>
        </is>
      </c>
      <c r="H18" s="6" t="inlineStr">
        <is>
          <t>TIER 2 - WARM</t>
        </is>
      </c>
      <c r="I18" s="9" t="n"/>
      <c r="J18" s="9" t="n"/>
      <c r="K18" s="9" t="n"/>
      <c r="L18" s="9" t="n"/>
      <c r="M18" s="9" t="n"/>
      <c r="N18" s="9" t="n"/>
      <c r="O18" s="9" t="n"/>
      <c r="P18" s="9" t="n"/>
      <c r="Q18" s="9" t="n"/>
      <c r="R18" s="9" t="n"/>
      <c r="S18" s="9" t="n"/>
      <c r="T18" s="9" t="n"/>
      <c r="U18" s="9" t="n"/>
      <c r="V18" s="9" t="n"/>
      <c r="W18" s="9" t="n"/>
      <c r="X18" s="9" t="n"/>
      <c r="Y18" s="9" t="n"/>
      <c r="Z18" s="9" t="n"/>
    </row>
    <row r="19" ht="15.75" customHeight="1" s="48">
      <c r="A19" s="6" t="inlineStr">
        <is>
          <t>Just-N-Time AC and Heating</t>
        </is>
      </c>
      <c r="B19" s="6" t="inlineStr">
        <is>
          <t>Houston, TX</t>
        </is>
      </c>
      <c r="C19" s="6">
        <f>+1 281-908-4602</f>
        <v/>
      </c>
      <c r="D19" s="7" t="inlineStr">
        <is>
          <t>https://book.housecallpro.com/book/Just-N-Time-Air-Condition-and-Heating/44beadb58f6448c28dc03f9229545e06?v2=true&amp;lead_source=google&amp;merchant_id=43988923-28e7-4d3a-b936-a20e6019d19f&amp;hl=en-ZA&amp;gei=tDaKaYj2HM-mhbIP54DAwAg&amp;rwg_token=AFd1xnGJFjzCM-NAB2aH4EvCtgcubnmSGtH3HT9g8-vFmk0gc2XlrJSxCdNIMiigRTwqv6C8qRqOqASStF2rfpqx6lcprKyHCw%3D%3D&amp;source=cat</t>
        </is>
      </c>
      <c r="E19" s="8" t="n">
        <v>4.9</v>
      </c>
      <c r="F19" s="8" t="n">
        <v>400</v>
      </c>
      <c r="G19" s="6" t="inlineStr">
        <is>
          <t>NO</t>
        </is>
      </c>
      <c r="H19" s="6" t="inlineStr">
        <is>
          <t>TIER 2 - WARM</t>
        </is>
      </c>
      <c r="I19" s="9" t="n"/>
      <c r="J19" s="9" t="n"/>
      <c r="K19" s="9" t="n"/>
      <c r="L19" s="9" t="n"/>
      <c r="M19" s="9" t="n"/>
      <c r="N19" s="9" t="n"/>
      <c r="O19" s="9" t="n"/>
      <c r="P19" s="9" t="n"/>
      <c r="Q19" s="9" t="n"/>
      <c r="R19" s="9" t="n"/>
      <c r="S19" s="9" t="n"/>
      <c r="T19" s="9" t="n"/>
      <c r="U19" s="9" t="n"/>
      <c r="V19" s="9" t="n"/>
      <c r="W19" s="9" t="n"/>
      <c r="X19" s="9" t="n"/>
      <c r="Y19" s="9" t="n"/>
      <c r="Z19" s="9" t="n"/>
    </row>
    <row r="20" ht="15.75" customHeight="1" s="48">
      <c r="A20" s="6" t="inlineStr">
        <is>
          <t>75 Degree AC- Houston</t>
        </is>
      </c>
      <c r="B20" s="6" t="inlineStr">
        <is>
          <t>Houston, TX</t>
        </is>
      </c>
      <c r="C20" s="6">
        <f>+1 713-598-2737</f>
        <v/>
      </c>
      <c r="D20" s="7" t="inlineStr">
        <is>
          <t>https://api.leadconnectorhq.com/widget/group/bTgfJTUQkuHmlMMI8aFR?hl=en-ZA&amp;gei=tDaKaYj2HM-mhbIP54DAwAg&amp;rwg_token=AFd1xnECFuCRv0Z-biPxYtT-YWbmKai3u4E9N3DLmFsrzFD4EWOq85_V4TbL961F1ECBJJgkzgmlOhM9UXNvpjaCmEda85EGZw%3D%3D&amp;source=cat</t>
        </is>
      </c>
      <c r="E20" s="8" t="n">
        <v>5</v>
      </c>
      <c r="F20" s="8" t="n">
        <v>216</v>
      </c>
      <c r="G20" s="6" t="inlineStr">
        <is>
          <t>NO</t>
        </is>
      </c>
      <c r="H20" s="6" t="inlineStr">
        <is>
          <t>TIER 2 - WARM</t>
        </is>
      </c>
      <c r="I20" s="9" t="n"/>
      <c r="J20" s="9" t="n"/>
      <c r="K20" s="9" t="n"/>
      <c r="L20" s="9" t="n"/>
      <c r="M20" s="9" t="n"/>
      <c r="N20" s="9" t="n"/>
      <c r="O20" s="9" t="n"/>
      <c r="P20" s="9" t="n"/>
      <c r="Q20" s="9" t="n"/>
      <c r="R20" s="9" t="n"/>
      <c r="S20" s="9" t="n"/>
      <c r="T20" s="9" t="n"/>
      <c r="U20" s="9" t="n"/>
      <c r="V20" s="9" t="n"/>
      <c r="W20" s="9" t="n"/>
      <c r="X20" s="9" t="n"/>
      <c r="Y20" s="9" t="n"/>
      <c r="Z20" s="9" t="n"/>
    </row>
    <row r="21" ht="15.75" customHeight="1" s="48">
      <c r="A21" s="3" t="inlineStr">
        <is>
          <t>Comfort Star Ac Repair</t>
        </is>
      </c>
      <c r="B21" s="3" t="inlineStr">
        <is>
          <t>Houston, TX</t>
        </is>
      </c>
      <c r="C21" s="3">
        <f>+1 713-999-1900</f>
        <v/>
      </c>
      <c r="D21" s="4" t="inlineStr">
        <is>
          <t>https://www.comfortstaracrepairhouston.com/</t>
        </is>
      </c>
      <c r="E21" s="5" t="n">
        <v>4.9</v>
      </c>
      <c r="F21" s="5" t="n">
        <v>392</v>
      </c>
      <c r="G21" s="3" t="inlineStr">
        <is>
          <t>NO</t>
        </is>
      </c>
      <c r="H21" s="3" t="inlineStr">
        <is>
          <t>TIER 2 - WARM</t>
        </is>
      </c>
      <c r="I21" s="1" t="inlineStr">
        <is>
          <t>Pros:
They have alot of information and text as well as badges but it does not display it in a good way`
They have reviews on google and yelp yet they put the reviews lower on the page.
Cons: 
Google reviews are lower down. 
Stock images ,facebook and twitter icons do not work
No image of team and van</t>
        </is>
      </c>
      <c r="J21" s="1" t="inlineStr">
        <is>
          <t>Shane</t>
        </is>
      </c>
    </row>
    <row r="22" ht="15.75" customHeight="1" s="48">
      <c r="A22" s="6" t="inlineStr">
        <is>
          <t>Richmonds Air</t>
        </is>
      </c>
      <c r="B22" s="6" t="inlineStr">
        <is>
          <t>Houston, TX</t>
        </is>
      </c>
      <c r="C22" s="6">
        <f>+1 713-999-4735</f>
        <v/>
      </c>
      <c r="D22" s="7" t="inlineStr">
        <is>
          <t>https://www.richmondsair.com/?utm_source=gmb&amp;utm_medium=website</t>
        </is>
      </c>
      <c r="E22" s="8" t="n">
        <v>4.7</v>
      </c>
      <c r="F22" s="8" t="n">
        <v>351</v>
      </c>
      <c r="G22" s="6" t="inlineStr">
        <is>
          <t>NO</t>
        </is>
      </c>
      <c r="H22" s="6" t="inlineStr">
        <is>
          <t>TIER 2 - WARM</t>
        </is>
      </c>
      <c r="I22" s="9" t="n"/>
      <c r="J22" s="9" t="n"/>
      <c r="K22" s="9" t="n"/>
      <c r="L22" s="9" t="n"/>
      <c r="M22" s="9" t="n"/>
      <c r="N22" s="9" t="n"/>
      <c r="O22" s="9" t="n"/>
      <c r="P22" s="9" t="n"/>
      <c r="Q22" s="9" t="n"/>
      <c r="R22" s="9" t="n"/>
      <c r="S22" s="9" t="n"/>
      <c r="T22" s="9" t="n"/>
      <c r="U22" s="9" t="n"/>
      <c r="V22" s="9" t="n"/>
      <c r="W22" s="9" t="n"/>
      <c r="X22" s="9" t="n"/>
      <c r="Y22" s="9" t="n"/>
      <c r="Z22" s="9" t="n"/>
    </row>
    <row r="23" ht="15.75" customHeight="1" s="48">
      <c r="A23" s="3" t="inlineStr">
        <is>
          <t>Eco Heating &amp; AC Repair Arcadia</t>
        </is>
      </c>
      <c r="B23" s="3" t="inlineStr">
        <is>
          <t>Pasadena, CA</t>
        </is>
      </c>
      <c r="C23" s="3">
        <f>+1 626-649-4619</f>
        <v/>
      </c>
      <c r="D23" s="10" t="inlineStr">
        <is>
          <t>https://ecoheatingair.com/</t>
        </is>
      </c>
      <c r="E23" s="5" t="n">
        <v>5</v>
      </c>
      <c r="F23" s="5" t="n">
        <v>2</v>
      </c>
      <c r="G23" s="3" t="inlineStr">
        <is>
          <t>NO</t>
        </is>
      </c>
      <c r="H23" s="3" t="inlineStr">
        <is>
          <t>TIER 2 - WARM</t>
        </is>
      </c>
      <c r="I23" s="1" t="inlineStr">
        <is>
          <t>Pros:
Have a website and information on their pare
Cons:
Do not leverage their reviews and get their reviews from their clients
Have a one page website and a about us that do not explain who they are and their team.
No trust badges, looklike they do not have a marketing company.
Just stock images.</t>
        </is>
      </c>
    </row>
    <row r="24" ht="15.75" customHeight="1" s="48">
      <c r="A24" s="3" t="inlineStr">
        <is>
          <t>Aryco HVAC</t>
        </is>
      </c>
      <c r="B24" s="3" t="inlineStr">
        <is>
          <t>Pasadena, CA</t>
        </is>
      </c>
      <c r="C24" s="3">
        <f>+1 626-559-0990</f>
        <v/>
      </c>
      <c r="D24" s="4" t="inlineStr">
        <is>
          <t>https://arycohvac.com/</t>
        </is>
      </c>
      <c r="E24" s="5" t="n">
        <v>4.9</v>
      </c>
      <c r="F24" s="5" t="n">
        <v>253</v>
      </c>
      <c r="G24" s="3" t="inlineStr">
        <is>
          <t>NO</t>
        </is>
      </c>
      <c r="H24" s="3" t="inlineStr">
        <is>
          <t>TIER 2 - WARM</t>
        </is>
      </c>
      <c r="I24" s="1" t="inlineStr">
        <is>
          <t>Pro:
Have a digital presence, Navigation bar, Christian with verses: john3:16 ,Proverbs 27:2
Cons: Lom scroll on the webpage. To many navigation bars,To much text and no good placement,
Only show where they are servicing no trust building. Do not have reviews on website, 
HAve to servicing sites.
Cannot find owners name no facebook or personal page.</t>
        </is>
      </c>
    </row>
    <row r="25" ht="15.75" customHeight="1" s="48">
      <c r="A25" s="6" t="inlineStr">
        <is>
          <t>Bryant Heating &amp; Air Conditioning</t>
        </is>
      </c>
      <c r="B25" s="6" t="inlineStr">
        <is>
          <t>Pasadena, CA</t>
        </is>
      </c>
      <c r="C25" s="6">
        <f>+1 626-995-1019</f>
        <v/>
      </c>
      <c r="D25" s="7" t="inlineStr">
        <is>
          <t>https://www.bryantheatandair.com/?utm_source=google&amp;utm_medium=organic&amp;utm_campaign=GMBListing-Pasadena-CA</t>
        </is>
      </c>
      <c r="E25" s="8" t="n">
        <v>4.7</v>
      </c>
      <c r="F25" s="8" t="n">
        <v>191</v>
      </c>
      <c r="G25" s="6" t="inlineStr">
        <is>
          <t>NO</t>
        </is>
      </c>
      <c r="H25" s="6" t="inlineStr">
        <is>
          <t>TIER 2 - WARM</t>
        </is>
      </c>
      <c r="I25" s="9" t="n"/>
      <c r="J25" s="9" t="n"/>
      <c r="K25" s="9" t="n"/>
      <c r="L25" s="9" t="n"/>
      <c r="M25" s="9" t="n"/>
      <c r="N25" s="9" t="n"/>
      <c r="O25" s="9" t="n"/>
      <c r="P25" s="9" t="n"/>
      <c r="Q25" s="9" t="n"/>
      <c r="R25" s="9" t="n"/>
      <c r="S25" s="9" t="n"/>
      <c r="T25" s="9" t="n"/>
      <c r="U25" s="9" t="n"/>
      <c r="V25" s="9" t="n"/>
      <c r="W25" s="9" t="n"/>
      <c r="X25" s="9" t="n"/>
      <c r="Y25" s="9" t="n"/>
      <c r="Z25" s="9" t="n"/>
    </row>
    <row r="26" ht="15.75" customHeight="1" s="48">
      <c r="A26" s="6" t="inlineStr">
        <is>
          <t>Next HVAC and Appliance repair</t>
        </is>
      </c>
      <c r="B26" s="6" t="inlineStr">
        <is>
          <t>San Francisco, CA</t>
        </is>
      </c>
      <c r="C26" s="6">
        <f>+1 628-303-0533</f>
        <v/>
      </c>
      <c r="D26" s="7" t="inlineStr">
        <is>
          <t>https://nexthvacrepair.com/?utm_source=gmb&amp;utm_medium=site</t>
        </is>
      </c>
      <c r="E26" s="8" t="n">
        <v>4.8</v>
      </c>
      <c r="F26" s="8" t="n">
        <v>333</v>
      </c>
      <c r="G26" s="6" t="inlineStr">
        <is>
          <t>NO</t>
        </is>
      </c>
      <c r="H26" s="6" t="inlineStr">
        <is>
          <t>TIER 2 - WARM</t>
        </is>
      </c>
      <c r="I26" s="9" t="n"/>
      <c r="J26" s="9" t="n"/>
      <c r="K26" s="9" t="n"/>
      <c r="L26" s="9" t="n"/>
      <c r="M26" s="9" t="n"/>
      <c r="N26" s="9" t="n"/>
      <c r="O26" s="9" t="n"/>
      <c r="P26" s="9" t="n"/>
      <c r="Q26" s="9" t="n"/>
      <c r="R26" s="9" t="n"/>
      <c r="S26" s="9" t="n"/>
      <c r="T26" s="9" t="n"/>
      <c r="U26" s="9" t="n"/>
      <c r="V26" s="9" t="n"/>
      <c r="W26" s="9" t="n"/>
      <c r="X26" s="9" t="n"/>
      <c r="Y26" s="9" t="n"/>
      <c r="Z26" s="9" t="n"/>
    </row>
    <row r="27" ht="15.75" customHeight="1" s="48">
      <c r="A27" s="3" t="inlineStr">
        <is>
          <t>Around The Clock HVAC</t>
        </is>
      </c>
      <c r="B27" s="3" t="inlineStr">
        <is>
          <t>San Francisco, CA</t>
        </is>
      </c>
      <c r="C27" s="3">
        <f>+1 866-508-5674</f>
        <v/>
      </c>
      <c r="D27" s="4" t="inlineStr">
        <is>
          <t>http://trueheatingandairconditioningservice.com/san-francisco</t>
        </is>
      </c>
      <c r="E27" s="5" t="n">
        <v>5</v>
      </c>
      <c r="F27" s="5" t="n">
        <v>207</v>
      </c>
      <c r="G27" s="3" t="inlineStr">
        <is>
          <t>NO</t>
        </is>
      </c>
      <c r="H27" s="3" t="inlineStr">
        <is>
          <t>TIER 2 - WARM</t>
        </is>
      </c>
      <c r="I27" s="1" t="inlineStr">
        <is>
          <t>Pro: 
Have a digital presence.
Cons:
Have a one page site, not social links or leveraging their reviews. 
Alot of text on page and tnothing building trust withthe current people who choose them as their HVAC providers
No images of team or mascot of van,
Only images of the AC's and installation.</t>
        </is>
      </c>
    </row>
    <row r="28" ht="15.75" customHeight="1" s="48">
      <c r="A28" s="11" t="inlineStr">
        <is>
          <t>Galaxy Heating &amp; Air Conditioning</t>
        </is>
      </c>
      <c r="B28" s="11" t="inlineStr">
        <is>
          <t>San Francisco, CA</t>
        </is>
      </c>
      <c r="C28" s="11">
        <f>+1 925-578-3379</f>
        <v/>
      </c>
      <c r="D28" s="12" t="inlineStr">
        <is>
          <t>https://galaxyservices.com/</t>
        </is>
      </c>
      <c r="E28" s="13" t="n">
        <v>4.8</v>
      </c>
      <c r="F28" s="13" t="n">
        <v>370</v>
      </c>
      <c r="G28" s="11" t="inlineStr">
        <is>
          <t>NO</t>
        </is>
      </c>
      <c r="H28" s="11" t="inlineStr">
        <is>
          <t>TIER 2 - WARM</t>
        </is>
      </c>
      <c r="I28" s="14" t="inlineStr">
        <is>
          <t>Learn from their website it is so good and builds trust.</t>
        </is>
      </c>
      <c r="J28" s="14" t="n"/>
      <c r="K28" s="14" t="n"/>
      <c r="L28" s="14" t="n"/>
      <c r="M28" s="14" t="n"/>
      <c r="N28" s="14" t="n"/>
      <c r="O28" s="14" t="n"/>
      <c r="P28" s="14" t="n"/>
      <c r="Q28" s="14" t="n"/>
      <c r="R28" s="14" t="n"/>
      <c r="S28" s="14" t="n"/>
      <c r="T28" s="14" t="n"/>
      <c r="U28" s="14" t="n"/>
      <c r="V28" s="14" t="n"/>
      <c r="W28" s="14" t="n"/>
      <c r="X28" s="14" t="n"/>
      <c r="Y28" s="14" t="n"/>
      <c r="Z28" s="14" t="n"/>
    </row>
    <row r="29" ht="15.75" customHeight="1" s="48">
      <c r="A29" s="6" t="inlineStr">
        <is>
          <t>Air Tech of Houston AC &amp; Plumbing</t>
        </is>
      </c>
      <c r="B29" s="6" t="inlineStr">
        <is>
          <t>Houston, TX</t>
        </is>
      </c>
      <c r="C29" s="6">
        <f>+1 832-680-5546</f>
        <v/>
      </c>
      <c r="D29" s="7" t="inlineStr">
        <is>
          <t>https://www.airtechofhouston.com/locations/houston-tx/?utm_source=google-gbp&amp;utm_medium=organic&amp;utm_campaign=*19*air-tech-houston</t>
        </is>
      </c>
      <c r="E29" s="8" t="n">
        <v>4.9</v>
      </c>
      <c r="F29" s="8" t="n">
        <v>5600</v>
      </c>
      <c r="G29" s="6" t="inlineStr">
        <is>
          <t>NO</t>
        </is>
      </c>
      <c r="H29" s="6" t="inlineStr">
        <is>
          <t>TIER 3 - TOO BIG</t>
        </is>
      </c>
      <c r="I29" s="9" t="n"/>
      <c r="J29" s="9" t="n"/>
      <c r="K29" s="9" t="n"/>
      <c r="L29" s="9" t="n"/>
      <c r="M29" s="9" t="n"/>
      <c r="N29" s="9" t="n"/>
      <c r="O29" s="9" t="n"/>
      <c r="P29" s="9" t="n"/>
      <c r="Q29" s="9" t="n"/>
      <c r="R29" s="9" t="n"/>
      <c r="S29" s="9" t="n"/>
      <c r="T29" s="9" t="n"/>
      <c r="U29" s="9" t="n"/>
      <c r="V29" s="9" t="n"/>
      <c r="W29" s="9" t="n"/>
      <c r="X29" s="9" t="n"/>
      <c r="Y29" s="9" t="n"/>
      <c r="Z29" s="9" t="n"/>
    </row>
    <row r="30" ht="15.75" customHeight="1" s="48">
      <c r="A30" s="6" t="inlineStr">
        <is>
          <t>Mission Air Conditioning &amp; Plumbing</t>
        </is>
      </c>
      <c r="B30" s="6" t="inlineStr">
        <is>
          <t>Houston, TX</t>
        </is>
      </c>
      <c r="C30" s="6">
        <f>+1 281-502-2062</f>
        <v/>
      </c>
      <c r="D30" s="7" t="inlineStr">
        <is>
          <t>https://www.missionac.com/locations/houston-tx/?utm_source=google&amp;utm_medium=organic&amp;utm_campaign=gbp</t>
        </is>
      </c>
      <c r="E30" s="8" t="n">
        <v>4.8</v>
      </c>
      <c r="F30" s="8" t="n">
        <v>2800</v>
      </c>
      <c r="G30" s="6" t="inlineStr">
        <is>
          <t>NO</t>
        </is>
      </c>
      <c r="H30" s="6" t="inlineStr">
        <is>
          <t>TIER 3 - TOO BIG</t>
        </is>
      </c>
      <c r="I30" s="9" t="n"/>
      <c r="J30" s="9" t="n"/>
      <c r="K30" s="9" t="n"/>
      <c r="L30" s="9" t="n"/>
      <c r="M30" s="9" t="n"/>
      <c r="N30" s="9" t="n"/>
      <c r="O30" s="9" t="n"/>
      <c r="P30" s="9" t="n"/>
      <c r="Q30" s="9" t="n"/>
      <c r="R30" s="9" t="n"/>
      <c r="S30" s="9" t="n"/>
      <c r="T30" s="9" t="n"/>
      <c r="U30" s="9" t="n"/>
      <c r="V30" s="9" t="n"/>
      <c r="W30" s="9" t="n"/>
      <c r="X30" s="9" t="n"/>
      <c r="Y30" s="9" t="n"/>
      <c r="Z30" s="9" t="n"/>
    </row>
    <row r="31" ht="15.75" customHeight="1" s="48">
      <c r="A31" s="6" t="inlineStr">
        <is>
          <t>Uptown Heating &amp; Air Conditioning</t>
        </is>
      </c>
      <c r="B31" s="6" t="inlineStr">
        <is>
          <t>Houston, TX</t>
        </is>
      </c>
      <c r="C31" s="6">
        <f>+1 832-709-0236</f>
        <v/>
      </c>
      <c r="D31" s="7" t="inlineStr">
        <is>
          <t>https://book.housecallpro.com/book/Uptown-Heating--Air-Conditioning/71ca9bbb24d1492f91638e1389575439?v2=true&amp;lead_source=google&amp;merchant_id=fa54d708-9c6f-4c50-9c7e-52f98f7797a4&amp;hl=en-ZA&amp;gei=tDaKaYj2HM-mhbIP54DAwAg&amp;rwg_token=AFd1xnGpCnBrNXGQiel04NX6UWg8qkuZkMLisk76YZ9t6e71tcd5QnlQSS0AT54Vk-x_dcSABDXy-nP7Oil1vZuqjdnyzkfCrQ%3D%3D&amp;source=cat</t>
        </is>
      </c>
      <c r="E31" s="8" t="n">
        <v>4.8</v>
      </c>
      <c r="F31" s="8" t="n">
        <v>2400</v>
      </c>
      <c r="G31" s="6" t="inlineStr">
        <is>
          <t>NO</t>
        </is>
      </c>
      <c r="H31" s="6" t="inlineStr">
        <is>
          <t>TIER 3 - TOO BIG</t>
        </is>
      </c>
      <c r="I31" s="9" t="n"/>
      <c r="J31" s="9" t="n"/>
      <c r="K31" s="9" t="n"/>
      <c r="L31" s="9" t="n"/>
      <c r="M31" s="9" t="n"/>
      <c r="N31" s="9" t="n"/>
      <c r="O31" s="9" t="n"/>
      <c r="P31" s="9" t="n"/>
      <c r="Q31" s="9" t="n"/>
      <c r="R31" s="9" t="n"/>
      <c r="S31" s="9" t="n"/>
      <c r="T31" s="9" t="n"/>
      <c r="U31" s="9" t="n"/>
      <c r="V31" s="9" t="n"/>
      <c r="W31" s="9" t="n"/>
      <c r="X31" s="9" t="n"/>
      <c r="Y31" s="9" t="n"/>
      <c r="Z31" s="9" t="n"/>
    </row>
    <row r="32" ht="15.75" customHeight="1" s="48">
      <c r="A32" s="6" t="inlineStr">
        <is>
          <t>Dave Lane's Hi-Tech Mechanical Inc.</t>
        </is>
      </c>
      <c r="B32" s="6" t="inlineStr">
        <is>
          <t>Houston, TX</t>
        </is>
      </c>
      <c r="C32" s="6">
        <f>+1 713-960-4269</f>
        <v/>
      </c>
      <c r="D32" s="7" t="inlineStr">
        <is>
          <t>http://www.davelaneair.com/</t>
        </is>
      </c>
      <c r="E32" s="8" t="n">
        <v>4.9</v>
      </c>
      <c r="F32" s="8" t="n">
        <v>1000</v>
      </c>
      <c r="G32" s="6" t="inlineStr">
        <is>
          <t>NO</t>
        </is>
      </c>
      <c r="H32" s="6" t="inlineStr">
        <is>
          <t>TIER 3 - TOO BIG</t>
        </is>
      </c>
      <c r="I32" s="9" t="n"/>
      <c r="J32" s="9" t="n"/>
      <c r="K32" s="9" t="n"/>
      <c r="L32" s="9" t="n"/>
      <c r="M32" s="9" t="n"/>
      <c r="N32" s="9" t="n"/>
      <c r="O32" s="9" t="n"/>
      <c r="P32" s="9" t="n"/>
      <c r="Q32" s="9" t="n"/>
      <c r="R32" s="9" t="n"/>
      <c r="S32" s="9" t="n"/>
      <c r="T32" s="9" t="n"/>
      <c r="U32" s="9" t="n"/>
      <c r="V32" s="9" t="n"/>
      <c r="W32" s="9" t="n"/>
      <c r="X32" s="9" t="n"/>
      <c r="Y32" s="9" t="n"/>
      <c r="Z32" s="9" t="n"/>
    </row>
    <row r="33" ht="15.75" customHeight="1" s="48">
      <c r="A33" s="6" t="inlineStr">
        <is>
          <t>Air Tech of Humble - Elite Comfort</t>
        </is>
      </c>
      <c r="B33" s="6" t="inlineStr">
        <is>
          <t>Houston, TX</t>
        </is>
      </c>
      <c r="C33" s="6">
        <f>+1 346-236-1240</f>
        <v/>
      </c>
      <c r="D33" s="7" t="inlineStr">
        <is>
          <t>https://www.airtechofhumble.com/locations/humble-tx/?utm_source=google-gbp&amp;utm_medium=organic&amp;utm_campaign=*20*air-tech-humble</t>
        </is>
      </c>
      <c r="E33" s="8" t="n">
        <v>4.9</v>
      </c>
      <c r="F33" s="8" t="n">
        <v>2900</v>
      </c>
      <c r="G33" s="6" t="inlineStr">
        <is>
          <t>NO</t>
        </is>
      </c>
      <c r="H33" s="6" t="inlineStr">
        <is>
          <t>TIER 3 - TOO BIG</t>
        </is>
      </c>
      <c r="I33" s="9" t="n"/>
      <c r="J33" s="9" t="n"/>
      <c r="K33" s="9" t="n"/>
      <c r="L33" s="9" t="n"/>
      <c r="M33" s="9" t="n"/>
      <c r="N33" s="9" t="n"/>
      <c r="O33" s="9" t="n"/>
      <c r="P33" s="9" t="n"/>
      <c r="Q33" s="9" t="n"/>
      <c r="R33" s="9" t="n"/>
      <c r="S33" s="9" t="n"/>
      <c r="T33" s="9" t="n"/>
      <c r="U33" s="9" t="n"/>
      <c r="V33" s="9" t="n"/>
      <c r="W33" s="9" t="n"/>
      <c r="X33" s="9" t="n"/>
      <c r="Y33" s="9" t="n"/>
      <c r="Z33" s="9" t="n"/>
    </row>
    <row r="34" ht="15.75" customHeight="1" s="48">
      <c r="A34" s="6" t="inlineStr">
        <is>
          <t>Be Cool AC &amp; Heating</t>
        </is>
      </c>
      <c r="B34" s="6" t="inlineStr">
        <is>
          <t>Houston, TX</t>
        </is>
      </c>
      <c r="C34" s="6">
        <f>+1 832-906-6113</f>
        <v/>
      </c>
      <c r="D34" s="7" t="inlineStr">
        <is>
          <t>https://book.housecallpro.com/book/Be-Cool-AC--Heating/255cf6683249459c991100fb3caf83c4?v2=true&amp;lead_source=google&amp;merchant_id=1b182ced-e379-4797-8a1c-6eb15204a02f&amp;hl=en-ZA&amp;gei=tDaKaYj2HM-mhbIP54DAwAg&amp;rwg_token=AFd1xnEK-rmvUV6-iREpf_8AoMPq7Us1ISMAZiKEp4A3lNc2s_Bv7uaTbrrSyMkICxKWDRYQKcZqOafTgZfauN5acaW9T0UtxQ%3D%3D&amp;source=cat</t>
        </is>
      </c>
      <c r="E34" s="8" t="n">
        <v>5</v>
      </c>
      <c r="F34" s="8" t="n">
        <v>566</v>
      </c>
      <c r="G34" s="6" t="inlineStr">
        <is>
          <t>NO</t>
        </is>
      </c>
      <c r="H34" s="6" t="inlineStr">
        <is>
          <t>TIER 3 - TOO BIG</t>
        </is>
      </c>
      <c r="I34" s="9" t="n"/>
      <c r="J34" s="9" t="n"/>
      <c r="K34" s="9" t="n"/>
      <c r="L34" s="9" t="n"/>
      <c r="M34" s="9" t="n"/>
      <c r="N34" s="9" t="n"/>
      <c r="O34" s="9" t="n"/>
      <c r="P34" s="9" t="n"/>
      <c r="Q34" s="9" t="n"/>
      <c r="R34" s="9" t="n"/>
      <c r="S34" s="9" t="n"/>
      <c r="T34" s="9" t="n"/>
      <c r="U34" s="9" t="n"/>
      <c r="V34" s="9" t="n"/>
      <c r="W34" s="9" t="n"/>
      <c r="X34" s="9" t="n"/>
      <c r="Y34" s="9" t="n"/>
      <c r="Z34" s="9" t="n"/>
    </row>
    <row r="35" ht="15.75" customHeight="1" s="48">
      <c r="A35" s="6" t="inlineStr">
        <is>
          <t>Air Specialist Air Conditioning &amp; Plumbing</t>
        </is>
      </c>
      <c r="B35" s="6" t="inlineStr">
        <is>
          <t>Houston, TX</t>
        </is>
      </c>
      <c r="C35" s="6">
        <f>+1 713-469-3443</f>
        <v/>
      </c>
      <c r="D35" s="7" t="inlineStr">
        <is>
          <t>https://www.airspecialist.com/?utm_campaign=Google+My+Business&amp;utm_source=GMB&amp;utm_medium=organic&amp;utm_content=Website</t>
        </is>
      </c>
      <c r="E35" s="8" t="n">
        <v>4.8</v>
      </c>
      <c r="F35" s="8" t="n">
        <v>3700</v>
      </c>
      <c r="G35" s="6" t="inlineStr">
        <is>
          <t>NO</t>
        </is>
      </c>
      <c r="H35" s="6" t="inlineStr">
        <is>
          <t>TIER 3 - TOO BIG</t>
        </is>
      </c>
      <c r="I35" s="9" t="n"/>
      <c r="J35" s="9" t="n"/>
      <c r="K35" s="9" t="n"/>
      <c r="L35" s="9" t="n"/>
      <c r="M35" s="9" t="n"/>
      <c r="N35" s="9" t="n"/>
      <c r="O35" s="9" t="n"/>
      <c r="P35" s="9" t="n"/>
      <c r="Q35" s="9" t="n"/>
      <c r="R35" s="9" t="n"/>
      <c r="S35" s="9" t="n"/>
      <c r="T35" s="9" t="n"/>
      <c r="U35" s="9" t="n"/>
      <c r="V35" s="9" t="n"/>
      <c r="W35" s="9" t="n"/>
      <c r="X35" s="9" t="n"/>
      <c r="Y35" s="9" t="n"/>
      <c r="Z35" s="9" t="n"/>
    </row>
    <row r="36" ht="15.75" customHeight="1" s="48">
      <c r="A36" s="6" t="inlineStr">
        <is>
          <t>Abacus Plumbing, Air Conditioning, &amp; Electrical</t>
        </is>
      </c>
      <c r="B36" s="6" t="inlineStr">
        <is>
          <t>Houston, TX</t>
        </is>
      </c>
      <c r="C36" s="6">
        <f>+1 713-812-7070</f>
        <v/>
      </c>
      <c r="D36" s="7" t="inlineStr">
        <is>
          <t>https://www.abacusplumbing.net/?utm_campaign=gmb_ab-hou_home_everyone_gmb-houston&amp;utm_medium=gmb&amp;utm_source=google</t>
        </is>
      </c>
      <c r="E36" s="8" t="n">
        <v>4.7</v>
      </c>
      <c r="F36" s="8" t="n">
        <v>12000</v>
      </c>
      <c r="G36" s="6" t="inlineStr">
        <is>
          <t>NO</t>
        </is>
      </c>
      <c r="H36" s="6" t="inlineStr">
        <is>
          <t>TIER 3 - TOO BIG</t>
        </is>
      </c>
      <c r="I36" s="9" t="n"/>
      <c r="J36" s="9" t="n"/>
      <c r="K36" s="9" t="n"/>
      <c r="L36" s="9" t="n"/>
      <c r="M36" s="9" t="n"/>
      <c r="N36" s="9" t="n"/>
      <c r="O36" s="9" t="n"/>
      <c r="P36" s="9" t="n"/>
      <c r="Q36" s="9" t="n"/>
      <c r="R36" s="9" t="n"/>
      <c r="S36" s="9" t="n"/>
      <c r="T36" s="9" t="n"/>
      <c r="U36" s="9" t="n"/>
      <c r="V36" s="9" t="n"/>
      <c r="W36" s="9" t="n"/>
      <c r="X36" s="9" t="n"/>
      <c r="Y36" s="9" t="n"/>
      <c r="Z36" s="9" t="n"/>
    </row>
    <row r="37" ht="15.75" customHeight="1" s="48">
      <c r="A37" s="6" t="inlineStr">
        <is>
          <t>Service Experts Houston</t>
        </is>
      </c>
      <c r="B37" s="6" t="inlineStr">
        <is>
          <t>Houston, TX</t>
        </is>
      </c>
      <c r="C37" s="6">
        <f>+1 346-752-9261</f>
        <v/>
      </c>
      <c r="D37" s="7" t="inlineStr">
        <is>
          <t>https://www.serviceexperts.com/houston-tx?&amp;utm_campaign=listing&amp;utm_medium=organic_search&amp;utm_source=gmb&amp;utm_content=brand</t>
        </is>
      </c>
      <c r="E37" s="8" t="n">
        <v>4.8</v>
      </c>
      <c r="F37" s="8" t="n">
        <v>4400</v>
      </c>
      <c r="G37" s="6" t="inlineStr">
        <is>
          <t>NO</t>
        </is>
      </c>
      <c r="H37" s="6" t="inlineStr">
        <is>
          <t>TIER 3 - TOO BIG</t>
        </is>
      </c>
      <c r="I37" s="9" t="n"/>
      <c r="J37" s="9" t="n"/>
      <c r="K37" s="9" t="n"/>
      <c r="L37" s="9" t="n"/>
      <c r="M37" s="9" t="n"/>
      <c r="N37" s="9" t="n"/>
      <c r="O37" s="9" t="n"/>
      <c r="P37" s="9" t="n"/>
      <c r="Q37" s="9" t="n"/>
      <c r="R37" s="9" t="n"/>
      <c r="S37" s="9" t="n"/>
      <c r="T37" s="9" t="n"/>
      <c r="U37" s="9" t="n"/>
      <c r="V37" s="9" t="n"/>
      <c r="W37" s="9" t="n"/>
      <c r="X37" s="9" t="n"/>
      <c r="Y37" s="9" t="n"/>
      <c r="Z37" s="9" t="n"/>
    </row>
    <row r="38" ht="15.75" customHeight="1" s="48">
      <c r="A38" s="6" t="inlineStr">
        <is>
          <t>Nick's Plumbing &amp; Air Conditioning</t>
        </is>
      </c>
      <c r="B38" s="6" t="inlineStr">
        <is>
          <t>Houston, TX</t>
        </is>
      </c>
      <c r="C38" s="6">
        <f>+1 281-406-3336</f>
        <v/>
      </c>
      <c r="D38" s="7" t="inlineStr">
        <is>
          <t>https://www.nicksplumbing.com/?utm_source=organic&amp;utm_medium=gbp&amp;utm_campaign=local</t>
        </is>
      </c>
      <c r="E38" s="8" t="n">
        <v>4.7</v>
      </c>
      <c r="F38" s="8" t="n">
        <v>3900</v>
      </c>
      <c r="G38" s="6" t="inlineStr">
        <is>
          <t>NO</t>
        </is>
      </c>
      <c r="H38" s="6" t="inlineStr">
        <is>
          <t>TIER 3 - TOO BIG</t>
        </is>
      </c>
      <c r="I38" s="9" t="n"/>
      <c r="J38" s="9" t="n"/>
      <c r="K38" s="9" t="n"/>
      <c r="L38" s="9" t="n"/>
      <c r="M38" s="9" t="n"/>
      <c r="N38" s="9" t="n"/>
      <c r="O38" s="9" t="n"/>
      <c r="P38" s="9" t="n"/>
      <c r="Q38" s="9" t="n"/>
      <c r="R38" s="9" t="n"/>
      <c r="S38" s="9" t="n"/>
      <c r="T38" s="9" t="n"/>
      <c r="U38" s="9" t="n"/>
      <c r="V38" s="9" t="n"/>
      <c r="W38" s="9" t="n"/>
      <c r="X38" s="9" t="n"/>
      <c r="Y38" s="9" t="n"/>
      <c r="Z38" s="9" t="n"/>
    </row>
    <row r="39" ht="15.75" customHeight="1" s="48">
      <c r="A39" s="6" t="inlineStr">
        <is>
          <t>Air-Tech Air Conditioning &amp; Heating, Inc.</t>
        </is>
      </c>
      <c r="B39" s="6" t="inlineStr">
        <is>
          <t>Pasadena, CA</t>
        </is>
      </c>
      <c r="C39" s="6">
        <f>+1 626-795-8880</f>
        <v/>
      </c>
      <c r="D39" s="7" t="inlineStr">
        <is>
          <t>https://www.airtechac.com/?utm_source=google&amp;utm_medium=organic&amp;utm_campaign=gbp</t>
        </is>
      </c>
      <c r="E39" s="8" t="n">
        <v>4.9</v>
      </c>
      <c r="F39" s="8" t="n">
        <v>834</v>
      </c>
      <c r="G39" s="6" t="inlineStr">
        <is>
          <t>NO</t>
        </is>
      </c>
      <c r="H39" s="6" t="inlineStr">
        <is>
          <t>TIER 3 - TOO BIG</t>
        </is>
      </c>
      <c r="I39" s="9" t="n"/>
      <c r="J39" s="9" t="n"/>
      <c r="K39" s="9" t="n"/>
      <c r="L39" s="9" t="n"/>
      <c r="M39" s="9" t="n"/>
      <c r="N39" s="9" t="n"/>
      <c r="O39" s="9" t="n"/>
      <c r="P39" s="9" t="n"/>
      <c r="Q39" s="9" t="n"/>
      <c r="R39" s="9" t="n"/>
      <c r="S39" s="9" t="n"/>
      <c r="T39" s="9" t="n"/>
      <c r="U39" s="9" t="n"/>
      <c r="V39" s="9" t="n"/>
      <c r="W39" s="9" t="n"/>
      <c r="X39" s="9" t="n"/>
      <c r="Y39" s="9" t="n"/>
      <c r="Z39" s="9" t="n"/>
    </row>
    <row r="40" ht="15.75" customHeight="1" s="48">
      <c r="A40" s="6" t="inlineStr">
        <is>
          <t>Air-Tro Inc</t>
        </is>
      </c>
      <c r="B40" s="6" t="inlineStr">
        <is>
          <t>Pasadena, CA</t>
        </is>
      </c>
      <c r="C40" s="6">
        <f>+1 626-357-3535</f>
        <v/>
      </c>
      <c r="D40" s="7" t="inlineStr">
        <is>
          <t>https://www.airtro.com/</t>
        </is>
      </c>
      <c r="E40" s="8" t="n">
        <v>4.7</v>
      </c>
      <c r="F40" s="8" t="n">
        <v>543</v>
      </c>
      <c r="G40" s="6" t="inlineStr">
        <is>
          <t>NO</t>
        </is>
      </c>
      <c r="H40" s="6" t="inlineStr">
        <is>
          <t>TIER 3 - TOO BIG</t>
        </is>
      </c>
      <c r="I40" s="9" t="n"/>
      <c r="J40" s="9" t="n"/>
      <c r="K40" s="9" t="n"/>
      <c r="L40" s="9" t="n"/>
      <c r="M40" s="9" t="n"/>
      <c r="N40" s="9" t="n"/>
      <c r="O40" s="9" t="n"/>
      <c r="P40" s="9" t="n"/>
      <c r="Q40" s="9" t="n"/>
      <c r="R40" s="9" t="n"/>
      <c r="S40" s="9" t="n"/>
      <c r="T40" s="9" t="n"/>
      <c r="U40" s="9" t="n"/>
      <c r="V40" s="9" t="n"/>
      <c r="W40" s="9" t="n"/>
      <c r="X40" s="9" t="n"/>
      <c r="Y40" s="9" t="n"/>
      <c r="Z40" s="9" t="n"/>
    </row>
    <row r="41" ht="15.75" customHeight="1" s="48">
      <c r="A41" s="6" t="inlineStr">
        <is>
          <t>Cabrillo Plumbing, Heating &amp; Air</t>
        </is>
      </c>
      <c r="B41" s="6" t="inlineStr">
        <is>
          <t>San Francisco, CA</t>
        </is>
      </c>
      <c r="C41" s="6">
        <f>+1 415-360-0560</f>
        <v/>
      </c>
      <c r="D41" s="7" t="inlineStr">
        <is>
          <t>https://discovercabrillo.com/?utm_source=gmb&amp;utm_medium=organic</t>
        </is>
      </c>
      <c r="E41" s="8" t="n">
        <v>4.9</v>
      </c>
      <c r="F41" s="8" t="n">
        <v>967</v>
      </c>
      <c r="G41" s="6" t="inlineStr">
        <is>
          <t>NO</t>
        </is>
      </c>
      <c r="H41" s="6" t="inlineStr">
        <is>
          <t>TIER 3 - TOO BIG</t>
        </is>
      </c>
      <c r="I41" s="9" t="n"/>
      <c r="J41" s="9" t="n"/>
      <c r="K41" s="9" t="n"/>
      <c r="L41" s="9" t="n"/>
      <c r="M41" s="9" t="n"/>
      <c r="N41" s="9" t="n"/>
      <c r="O41" s="9" t="n"/>
      <c r="P41" s="9" t="n"/>
      <c r="Q41" s="9" t="n"/>
      <c r="R41" s="9" t="n"/>
      <c r="S41" s="9" t="n"/>
      <c r="T41" s="9" t="n"/>
      <c r="U41" s="9" t="n"/>
      <c r="V41" s="9" t="n"/>
      <c r="W41" s="9" t="n"/>
      <c r="X41" s="9" t="n"/>
      <c r="Y41" s="9" t="n"/>
      <c r="Z41" s="9" t="n"/>
    </row>
    <row r="42" ht="15.75" customHeight="1" s="48">
      <c r="A42" s="6" t="inlineStr">
        <is>
          <t>Magic Plumbing Heating &amp; Cooling</t>
        </is>
      </c>
      <c r="B42" s="6" t="inlineStr">
        <is>
          <t>San Francisco, CA</t>
        </is>
      </c>
      <c r="C42" s="6">
        <f>+1 415-446-1776</f>
        <v/>
      </c>
      <c r="D42" s="7" t="inlineStr">
        <is>
          <t>https://www.magicplumbing.com/?utm_campaign=gmb&amp;utm_medium=organic&amp;utm_source=google</t>
        </is>
      </c>
      <c r="E42" s="8" t="n">
        <v>4.9</v>
      </c>
      <c r="F42" s="8" t="n">
        <v>1900</v>
      </c>
      <c r="G42" s="6" t="inlineStr">
        <is>
          <t>NO</t>
        </is>
      </c>
      <c r="H42" s="6" t="inlineStr">
        <is>
          <t>TIER 3 - TOO BIG</t>
        </is>
      </c>
      <c r="I42" s="9" t="n"/>
      <c r="J42" s="9" t="n"/>
      <c r="K42" s="9" t="n"/>
      <c r="L42" s="9" t="n"/>
      <c r="M42" s="9" t="n"/>
      <c r="N42" s="9" t="n"/>
      <c r="O42" s="9" t="n"/>
      <c r="P42" s="9" t="n"/>
      <c r="Q42" s="9" t="n"/>
      <c r="R42" s="9" t="n"/>
      <c r="S42" s="9" t="n"/>
      <c r="T42" s="9" t="n"/>
      <c r="U42" s="9" t="n"/>
      <c r="V42" s="9" t="n"/>
      <c r="W42" s="9" t="n"/>
      <c r="X42" s="9" t="n"/>
      <c r="Y42" s="9" t="n"/>
      <c r="Z42" s="9" t="n"/>
    </row>
    <row r="43" ht="15.75" customHeight="1" s="48">
      <c r="A43" s="6" t="inlineStr">
        <is>
          <t>Heise's Plumbing</t>
        </is>
      </c>
      <c r="B43" s="6" t="inlineStr">
        <is>
          <t>San Francisco, CA</t>
        </is>
      </c>
      <c r="C43" s="6">
        <f>+1 415-333-0704</f>
        <v/>
      </c>
      <c r="D43" s="7" t="inlineStr">
        <is>
          <t>https://www.heisesplumbing.com/</t>
        </is>
      </c>
      <c r="E43" s="8" t="n">
        <v>4.9</v>
      </c>
      <c r="F43" s="8" t="n">
        <v>1500</v>
      </c>
      <c r="G43" s="6" t="inlineStr">
        <is>
          <t>NO</t>
        </is>
      </c>
      <c r="H43" s="6" t="inlineStr">
        <is>
          <t>TIER 3 - TOO BIG</t>
        </is>
      </c>
      <c r="I43" s="9" t="n"/>
      <c r="J43" s="9" t="n"/>
      <c r="K43" s="9" t="n"/>
      <c r="L43" s="9" t="n"/>
      <c r="M43" s="9" t="n"/>
      <c r="N43" s="9" t="n"/>
      <c r="O43" s="9" t="n"/>
      <c r="P43" s="9" t="n"/>
      <c r="Q43" s="9" t="n"/>
      <c r="R43" s="9" t="n"/>
      <c r="S43" s="9" t="n"/>
      <c r="T43" s="9" t="n"/>
      <c r="U43" s="9" t="n"/>
      <c r="V43" s="9" t="n"/>
      <c r="W43" s="9" t="n"/>
      <c r="X43" s="9" t="n"/>
      <c r="Y43" s="9" t="n"/>
      <c r="Z43" s="9" t="n"/>
    </row>
    <row r="44" ht="15.75" customHeight="1" s="48">
      <c r="A44" s="6" t="inlineStr">
        <is>
          <t>Flow Masters Plumbing, Drain and Water Heater</t>
        </is>
      </c>
      <c r="B44" s="6" t="inlineStr">
        <is>
          <t>San Francisco, CA</t>
        </is>
      </c>
      <c r="C44" s="6">
        <f>+1 415-237-1112</f>
        <v/>
      </c>
      <c r="D44" s="7" t="inlineStr">
        <is>
          <t>https://flowmastersplumbing.com/?utm_source=organic&amp;utm_medium=gbp_listing</t>
        </is>
      </c>
      <c r="E44" s="8" t="n">
        <v>5</v>
      </c>
      <c r="F44" s="8" t="n">
        <v>626</v>
      </c>
      <c r="G44" s="6" t="inlineStr">
        <is>
          <t>NO</t>
        </is>
      </c>
      <c r="H44" s="6" t="inlineStr">
        <is>
          <t>TIER 3 - TOO BIG</t>
        </is>
      </c>
      <c r="I44" s="9" t="n"/>
      <c r="J44" s="9" t="n"/>
      <c r="K44" s="9" t="n"/>
      <c r="L44" s="9" t="n"/>
      <c r="M44" s="9" t="n"/>
      <c r="N44" s="9" t="n"/>
      <c r="O44" s="9" t="n"/>
      <c r="P44" s="9" t="n"/>
      <c r="Q44" s="9" t="n"/>
      <c r="R44" s="9" t="n"/>
      <c r="S44" s="9" t="n"/>
      <c r="T44" s="9" t="n"/>
      <c r="U44" s="9" t="n"/>
      <c r="V44" s="9" t="n"/>
      <c r="W44" s="9" t="n"/>
      <c r="X44" s="9" t="n"/>
      <c r="Y44" s="9" t="n"/>
      <c r="Z44" s="9" t="n"/>
    </row>
    <row r="45" ht="15.75" customHeight="1" s="48">
      <c r="A45" s="6" t="inlineStr">
        <is>
          <t>Jazz Heating, Air Conditioning and Plumbing</t>
        </is>
      </c>
      <c r="B45" s="6" t="inlineStr">
        <is>
          <t>San Francisco, CA</t>
        </is>
      </c>
      <c r="C45" s="6">
        <f>+1 925-400-9906</f>
        <v/>
      </c>
      <c r="D45" s="7" t="inlineStr">
        <is>
          <t>https://www.calljazz.com/?utm_source=google-gbp&amp;utm_medium=organic&amp;utm_campaign=*284*jazz-heating-ac-pleasanton</t>
        </is>
      </c>
      <c r="E45" s="8" t="n">
        <v>4.9</v>
      </c>
      <c r="F45" s="8" t="n">
        <v>3400</v>
      </c>
      <c r="G45" s="6" t="inlineStr">
        <is>
          <t>NO</t>
        </is>
      </c>
      <c r="H45" s="6" t="inlineStr">
        <is>
          <t>TIER 3 - TOO BIG</t>
        </is>
      </c>
      <c r="I45" s="9" t="n"/>
      <c r="J45" s="9" t="n"/>
      <c r="K45" s="9" t="n"/>
      <c r="L45" s="9" t="n"/>
      <c r="M45" s="9" t="n"/>
      <c r="N45" s="9" t="n"/>
      <c r="O45" s="9" t="n"/>
      <c r="P45" s="9" t="n"/>
      <c r="Q45" s="9" t="n"/>
      <c r="R45" s="9" t="n"/>
      <c r="S45" s="9" t="n"/>
      <c r="T45" s="9" t="n"/>
      <c r="U45" s="9" t="n"/>
      <c r="V45" s="9" t="n"/>
      <c r="W45" s="9" t="n"/>
      <c r="X45" s="9" t="n"/>
      <c r="Y45" s="9" t="n"/>
      <c r="Z45" s="9" t="n"/>
    </row>
    <row r="46" ht="15.75" customHeight="1" s="48">
      <c r="A46" s="6" t="inlineStr">
        <is>
          <t>Service Experts Heating &amp; Air Conditioning</t>
        </is>
      </c>
      <c r="B46" s="6" t="inlineStr">
        <is>
          <t>San Francisco, CA</t>
        </is>
      </c>
      <c r="C46" s="6">
        <f>+1 925-438-0864</f>
        <v/>
      </c>
      <c r="D46" s="7" t="inlineStr">
        <is>
          <t>https://www.serviceexperts.com/east-bay-ca/?&amp;utm_campaign=listing&amp;utm_medium=organic_search&amp;utm_source=gmb&amp;utm_content=brand</t>
        </is>
      </c>
      <c r="E46" s="8" t="n">
        <v>4.9</v>
      </c>
      <c r="F46" s="8" t="n">
        <v>920</v>
      </c>
      <c r="G46" s="6" t="inlineStr">
        <is>
          <t>NO</t>
        </is>
      </c>
      <c r="H46" s="6" t="inlineStr">
        <is>
          <t>TIER 3 - TOO BIG</t>
        </is>
      </c>
      <c r="I46" s="9" t="n"/>
      <c r="J46" s="9" t="n"/>
      <c r="K46" s="9" t="n"/>
      <c r="L46" s="9" t="n"/>
      <c r="M46" s="9" t="n"/>
      <c r="N46" s="9" t="n"/>
      <c r="O46" s="9" t="n"/>
      <c r="P46" s="9" t="n"/>
      <c r="Q46" s="9" t="n"/>
      <c r="R46" s="9" t="n"/>
      <c r="S46" s="9" t="n"/>
      <c r="T46" s="9" t="n"/>
      <c r="U46" s="9" t="n"/>
      <c r="V46" s="9" t="n"/>
      <c r="W46" s="9" t="n"/>
      <c r="X46" s="9" t="n"/>
      <c r="Y46" s="9" t="n"/>
      <c r="Z46" s="9" t="n"/>
    </row>
    <row r="47" ht="15.75" customHeight="1" s="48">
      <c r="A47" s="3" t="inlineStr">
        <is>
          <t>OSrXXb</t>
        </is>
      </c>
      <c r="B47" s="3" t="inlineStr">
        <is>
          <t>Houston, TX</t>
        </is>
      </c>
      <c r="C47" s="3" t="inlineStr">
        <is>
          <t>NOT FOUND</t>
        </is>
      </c>
      <c r="D47" s="3" t="inlineStr">
        <is>
          <t>NOT FOUND</t>
        </is>
      </c>
      <c r="E47" s="3" t="inlineStr">
        <is>
          <t>N/A</t>
        </is>
      </c>
      <c r="F47" s="5" t="n">
        <v>40</v>
      </c>
      <c r="G47" s="3" t="inlineStr">
        <is>
          <t>NO</t>
        </is>
      </c>
      <c r="H47" s="3" t="inlineStr">
        <is>
          <t>SKIP - NO WEBSITE</t>
        </is>
      </c>
      <c r="I47" s="15" t="n"/>
    </row>
    <row r="48" ht="15.75" customHeight="1" s="48">
      <c r="A48" s="3" t="inlineStr">
        <is>
          <t>OSrXXb</t>
        </is>
      </c>
      <c r="B48" s="3" t="inlineStr">
        <is>
          <t>Houston, TX</t>
        </is>
      </c>
      <c r="C48" s="3" t="inlineStr">
        <is>
          <t>NOT FOUND</t>
        </is>
      </c>
      <c r="D48" s="3" t="inlineStr">
        <is>
          <t>NOT FOUND</t>
        </is>
      </c>
      <c r="E48" s="3" t="inlineStr">
        <is>
          <t>N/A</t>
        </is>
      </c>
      <c r="F48" s="5" t="n">
        <v>40</v>
      </c>
      <c r="G48" s="3" t="inlineStr">
        <is>
          <t>NO</t>
        </is>
      </c>
      <c r="H48" s="3" t="inlineStr">
        <is>
          <t>SKIP - NO WEBSITE</t>
        </is>
      </c>
      <c r="I48" s="15" t="n"/>
    </row>
    <row r="49" ht="15.75" customHeight="1" s="48">
      <c r="A49" s="3" t="inlineStr">
        <is>
          <t>Houk Air Conditioning Houston</t>
        </is>
      </c>
      <c r="B49" s="3" t="inlineStr">
        <is>
          <t>Houston, TX</t>
        </is>
      </c>
      <c r="C49" s="3">
        <f>+1 409-345-3244</f>
        <v/>
      </c>
      <c r="D49" s="3" t="inlineStr">
        <is>
          <t>NOT FOUND</t>
        </is>
      </c>
      <c r="E49" s="3" t="inlineStr">
        <is>
          <t>N/A</t>
        </is>
      </c>
      <c r="F49" s="5" t="n">
        <v>4</v>
      </c>
      <c r="G49" s="3" t="inlineStr">
        <is>
          <t>NO</t>
        </is>
      </c>
      <c r="H49" s="3" t="inlineStr">
        <is>
          <t>SKIP - NO WEBSITE</t>
        </is>
      </c>
      <c r="I49" s="15" t="n"/>
    </row>
    <row r="50" ht="15.75" customHeight="1" s="48">
      <c r="A50" s="3" t="inlineStr">
        <is>
          <t>68 Degrees HVAC</t>
        </is>
      </c>
      <c r="B50" s="3" t="inlineStr">
        <is>
          <t>Houston, TX</t>
        </is>
      </c>
      <c r="C50" s="3">
        <f>+1 713-367-7985</f>
        <v/>
      </c>
      <c r="D50" s="3" t="inlineStr">
        <is>
          <t>NOT FOUND</t>
        </is>
      </c>
      <c r="E50" s="3" t="inlineStr">
        <is>
          <t>N/A</t>
        </is>
      </c>
      <c r="F50" s="5" t="n">
        <v>5</v>
      </c>
      <c r="G50" s="3" t="inlineStr">
        <is>
          <t>NO</t>
        </is>
      </c>
      <c r="H50" s="3" t="inlineStr">
        <is>
          <t>SKIP - NO WEBSITE</t>
        </is>
      </c>
      <c r="I50" s="15" t="n"/>
    </row>
    <row r="51" ht="15.75" customHeight="1" s="48">
      <c r="A51" s="3" t="inlineStr">
        <is>
          <t>Baker-Jones Co. Inc</t>
        </is>
      </c>
      <c r="B51" s="3" t="inlineStr">
        <is>
          <t>Houston, TX</t>
        </is>
      </c>
      <c r="C51" s="3">
        <f>+1 713-529-3418</f>
        <v/>
      </c>
      <c r="D51" s="3" t="inlineStr">
        <is>
          <t>NOT FOUND</t>
        </is>
      </c>
      <c r="E51" s="3" t="inlineStr">
        <is>
          <t>N/A</t>
        </is>
      </c>
      <c r="F51" s="5" t="n">
        <v>5</v>
      </c>
      <c r="G51" s="3" t="inlineStr">
        <is>
          <t>NO</t>
        </is>
      </c>
      <c r="H51" s="3" t="inlineStr">
        <is>
          <t>SKIP - NO WEBSITE</t>
        </is>
      </c>
      <c r="I51" s="15" t="n"/>
    </row>
    <row r="52" ht="15.75" customHeight="1" s="48">
      <c r="A52" s="3" t="inlineStr">
        <is>
          <t>comfort on Rs</t>
        </is>
      </c>
      <c r="B52" s="3" t="inlineStr">
        <is>
          <t>Houston, TX</t>
        </is>
      </c>
      <c r="C52" s="3">
        <f>+1 281-818-7950</f>
        <v/>
      </c>
      <c r="D52" s="3" t="inlineStr">
        <is>
          <t>NOT FOUND</t>
        </is>
      </c>
      <c r="E52" s="3" t="inlineStr">
        <is>
          <t>N/A</t>
        </is>
      </c>
      <c r="F52" s="5" t="n">
        <v>5</v>
      </c>
      <c r="G52" s="3" t="inlineStr">
        <is>
          <t>NO</t>
        </is>
      </c>
      <c r="H52" s="3" t="inlineStr">
        <is>
          <t>SKIP - NO WEBSITE</t>
        </is>
      </c>
      <c r="I52" s="15" t="n"/>
    </row>
    <row r="53" ht="15.75" customHeight="1" s="48">
      <c r="A53" s="3" t="inlineStr">
        <is>
          <t>Houston Heating And Air Conditioning</t>
        </is>
      </c>
      <c r="B53" s="3" t="inlineStr">
        <is>
          <t>Houston, TX</t>
        </is>
      </c>
      <c r="C53" s="3">
        <f>+1 281-598-7907</f>
        <v/>
      </c>
      <c r="D53" s="3" t="inlineStr">
        <is>
          <t>NOT FOUND</t>
        </is>
      </c>
      <c r="E53" s="3" t="inlineStr">
        <is>
          <t>N/A</t>
        </is>
      </c>
      <c r="F53" s="5" t="n">
        <v>5</v>
      </c>
      <c r="G53" s="3" t="inlineStr">
        <is>
          <t>NO</t>
        </is>
      </c>
      <c r="H53" s="3" t="inlineStr">
        <is>
          <t>SKIP - NO WEBSITE</t>
        </is>
      </c>
      <c r="I53" s="15" t="n"/>
    </row>
    <row r="54" ht="15.75" customHeight="1" s="48">
      <c r="A54" s="3" t="inlineStr">
        <is>
          <t>Aire Serv of Houston Midtown</t>
        </is>
      </c>
      <c r="B54" s="3" t="inlineStr">
        <is>
          <t>Houston, TX</t>
        </is>
      </c>
      <c r="C54" s="3">
        <f>+1 832-775-8465</f>
        <v/>
      </c>
      <c r="D54" s="3" t="inlineStr">
        <is>
          <t>NOT FOUND</t>
        </is>
      </c>
      <c r="E54" s="3" t="inlineStr">
        <is>
          <t>N/A</t>
        </is>
      </c>
      <c r="F54" s="5" t="n">
        <v>5</v>
      </c>
      <c r="G54" s="3" t="inlineStr">
        <is>
          <t>YES</t>
        </is>
      </c>
      <c r="H54" s="3" t="inlineStr">
        <is>
          <t>SKIP - NO WEBSITE</t>
        </is>
      </c>
      <c r="I54" s="15" t="n"/>
    </row>
    <row r="55" ht="15.75" customHeight="1" s="48">
      <c r="A55" s="3" t="inlineStr">
        <is>
          <t>Got Flow Plumbing &amp; AC Services</t>
        </is>
      </c>
      <c r="B55" s="3" t="inlineStr">
        <is>
          <t>Houston, TX</t>
        </is>
      </c>
      <c r="C55" s="3">
        <f>+1 281-607-4700</f>
        <v/>
      </c>
      <c r="D55" s="3" t="inlineStr">
        <is>
          <t>NOT FOUND</t>
        </is>
      </c>
      <c r="E55" s="3" t="inlineStr">
        <is>
          <t>N/A</t>
        </is>
      </c>
      <c r="F55" s="5" t="n">
        <v>4</v>
      </c>
      <c r="G55" s="3" t="inlineStr">
        <is>
          <t>NO</t>
        </is>
      </c>
      <c r="H55" s="3" t="inlineStr">
        <is>
          <t>SKIP - NO WEBSITE</t>
        </is>
      </c>
      <c r="I55" s="15" t="n"/>
    </row>
    <row r="56" ht="15.75" customHeight="1" s="48">
      <c r="A56" s="3" t="inlineStr">
        <is>
          <t>AAD Heating &amp; Air Conditioning</t>
        </is>
      </c>
      <c r="B56" s="3" t="inlineStr">
        <is>
          <t>Houston, TX</t>
        </is>
      </c>
      <c r="C56" s="3">
        <f>+1 713-379-1862</f>
        <v/>
      </c>
      <c r="D56" s="3" t="inlineStr">
        <is>
          <t>NOT FOUND</t>
        </is>
      </c>
      <c r="E56" s="3" t="inlineStr">
        <is>
          <t>N/A</t>
        </is>
      </c>
      <c r="F56" s="5" t="n">
        <v>5</v>
      </c>
      <c r="G56" s="3" t="inlineStr">
        <is>
          <t>NO</t>
        </is>
      </c>
      <c r="H56" s="3" t="inlineStr">
        <is>
          <t>SKIP - NO WEBSITE</t>
        </is>
      </c>
      <c r="I56" s="15" t="n"/>
    </row>
    <row r="57" ht="15.75" customHeight="1" s="48">
      <c r="A57" s="3" t="inlineStr">
        <is>
          <t>Houston Air Conditioning AC &amp; Heating Repair Co.</t>
        </is>
      </c>
      <c r="B57" s="3" t="inlineStr">
        <is>
          <t>Houston, TX</t>
        </is>
      </c>
      <c r="C57" s="3">
        <f>+1 346-460-6556</f>
        <v/>
      </c>
      <c r="D57" s="3" t="inlineStr">
        <is>
          <t>NOT FOUND</t>
        </is>
      </c>
      <c r="E57" s="3" t="inlineStr">
        <is>
          <t>N/A</t>
        </is>
      </c>
      <c r="F57" s="5" t="n">
        <v>4</v>
      </c>
      <c r="G57" s="3" t="inlineStr">
        <is>
          <t>NO</t>
        </is>
      </c>
      <c r="H57" s="3" t="inlineStr">
        <is>
          <t>SKIP - NO WEBSITE</t>
        </is>
      </c>
      <c r="I57" s="15" t="n"/>
    </row>
    <row r="58" ht="15.75" customHeight="1" s="48">
      <c r="A58" s="3" t="inlineStr">
        <is>
          <t>Morgan Pro Services</t>
        </is>
      </c>
      <c r="B58" s="3" t="inlineStr">
        <is>
          <t>Houston, TX</t>
        </is>
      </c>
      <c r="C58" s="3">
        <f>+1 713-466-7426</f>
        <v/>
      </c>
      <c r="D58" s="3" t="inlineStr">
        <is>
          <t>NOT FOUND</t>
        </is>
      </c>
      <c r="E58" s="3" t="inlineStr">
        <is>
          <t>N/A</t>
        </is>
      </c>
      <c r="F58" s="5" t="n">
        <v>4</v>
      </c>
      <c r="G58" s="3" t="inlineStr">
        <is>
          <t>NO</t>
        </is>
      </c>
      <c r="H58" s="3" t="inlineStr">
        <is>
          <t>SKIP - NO WEBSITE</t>
        </is>
      </c>
      <c r="I58" s="15" t="n"/>
    </row>
    <row r="59" ht="15.75" customHeight="1" s="48">
      <c r="A59" s="3" t="inlineStr">
        <is>
          <t>Houston Heating and Air Conditioning</t>
        </is>
      </c>
      <c r="B59" s="3" t="inlineStr">
        <is>
          <t>Houston, TX</t>
        </is>
      </c>
      <c r="C59" s="3">
        <f>+1 346-449-6877</f>
        <v/>
      </c>
      <c r="D59" s="3" t="inlineStr">
        <is>
          <t>NOT FOUND</t>
        </is>
      </c>
      <c r="E59" s="3" t="inlineStr">
        <is>
          <t>N/A</t>
        </is>
      </c>
      <c r="F59" s="5" t="n">
        <v>5</v>
      </c>
      <c r="G59" s="3" t="inlineStr">
        <is>
          <t>NO</t>
        </is>
      </c>
      <c r="H59" s="3" t="inlineStr">
        <is>
          <t>SKIP - NO WEBSITE</t>
        </is>
      </c>
      <c r="I59" s="15" t="n"/>
    </row>
    <row r="60" ht="15.75" customHeight="1" s="48">
      <c r="A60" s="3" t="inlineStr">
        <is>
          <t>Houston Heating &amp; Cooling Air Conditioning</t>
        </is>
      </c>
      <c r="B60" s="3" t="inlineStr">
        <is>
          <t>Houston, TX</t>
        </is>
      </c>
      <c r="C60" s="3">
        <f>+1 713-280-5840</f>
        <v/>
      </c>
      <c r="D60" s="3" t="inlineStr">
        <is>
          <t>NOT FOUND</t>
        </is>
      </c>
      <c r="E60" s="3" t="inlineStr">
        <is>
          <t>N/A</t>
        </is>
      </c>
      <c r="F60" s="5" t="n">
        <v>4</v>
      </c>
      <c r="G60" s="3" t="inlineStr">
        <is>
          <t>NO</t>
        </is>
      </c>
      <c r="H60" s="3" t="inlineStr">
        <is>
          <t>SKIP - NO WEBSITE</t>
        </is>
      </c>
      <c r="I60" s="15" t="n"/>
    </row>
    <row r="61" ht="15.75" customHeight="1" s="48">
      <c r="A61" s="3" t="inlineStr">
        <is>
          <t>HVAC Repair &amp; Air Duct Cleaning Pros</t>
        </is>
      </c>
      <c r="B61" s="3" t="inlineStr">
        <is>
          <t>Houston, TX</t>
        </is>
      </c>
      <c r="C61" s="3">
        <f>+1 713-832-9894</f>
        <v/>
      </c>
      <c r="D61" s="3" t="inlineStr">
        <is>
          <t>NOT FOUND</t>
        </is>
      </c>
      <c r="E61" s="3" t="inlineStr">
        <is>
          <t>N/A</t>
        </is>
      </c>
      <c r="F61" s="5" t="n">
        <v>5</v>
      </c>
      <c r="G61" s="3" t="inlineStr">
        <is>
          <t>NO</t>
        </is>
      </c>
      <c r="H61" s="3" t="inlineStr">
        <is>
          <t>SKIP - NO WEBSITE</t>
        </is>
      </c>
      <c r="I61" s="15" t="n"/>
    </row>
    <row r="62" ht="15.75" customHeight="1" s="48">
      <c r="A62" s="3" t="inlineStr">
        <is>
          <t>Top Notch AC Repair Houston</t>
        </is>
      </c>
      <c r="B62" s="3" t="inlineStr">
        <is>
          <t>Houston, TX</t>
        </is>
      </c>
      <c r="C62" s="3">
        <f>+1 346-637-4055</f>
        <v/>
      </c>
      <c r="D62" s="3" t="inlineStr">
        <is>
          <t>NOT FOUND</t>
        </is>
      </c>
      <c r="E62" s="3" t="inlineStr">
        <is>
          <t>N/A</t>
        </is>
      </c>
      <c r="F62" s="5" t="n">
        <v>5</v>
      </c>
      <c r="G62" s="3" t="inlineStr">
        <is>
          <t>NO</t>
        </is>
      </c>
      <c r="H62" s="3" t="inlineStr">
        <is>
          <t>SKIP - NO WEBSITE</t>
        </is>
      </c>
      <c r="I62" s="15" t="n"/>
    </row>
    <row r="63" ht="15.75" customHeight="1" s="48">
      <c r="A63" s="3" t="inlineStr">
        <is>
          <t>Newmark Air Conditioning</t>
        </is>
      </c>
      <c r="B63" s="3" t="inlineStr">
        <is>
          <t>Houston, TX</t>
        </is>
      </c>
      <c r="C63" s="3">
        <f>+1 713-804-2121</f>
        <v/>
      </c>
      <c r="D63" s="3" t="inlineStr">
        <is>
          <t>NOT FOUND</t>
        </is>
      </c>
      <c r="E63" s="3" t="inlineStr">
        <is>
          <t>N/A</t>
        </is>
      </c>
      <c r="F63" s="5" t="n">
        <v>5</v>
      </c>
      <c r="G63" s="3" t="inlineStr">
        <is>
          <t>NO</t>
        </is>
      </c>
      <c r="H63" s="3" t="inlineStr">
        <is>
          <t>SKIP - NO WEBSITE</t>
        </is>
      </c>
      <c r="I63" s="15" t="n"/>
    </row>
    <row r="64" ht="15.75" customHeight="1" s="48">
      <c r="A64" s="3" t="inlineStr">
        <is>
          <t>Air Mobile Plumbing, Air &amp; Refrigeration</t>
        </is>
      </c>
      <c r="B64" s="3" t="inlineStr">
        <is>
          <t>Houston, TX</t>
        </is>
      </c>
      <c r="C64" s="3">
        <f>+1 832-900-2882</f>
        <v/>
      </c>
      <c r="D64" s="3" t="inlineStr">
        <is>
          <t>NOT FOUND</t>
        </is>
      </c>
      <c r="E64" s="3" t="inlineStr">
        <is>
          <t>N/A</t>
        </is>
      </c>
      <c r="F64" s="5" t="n">
        <v>4</v>
      </c>
      <c r="G64" s="3" t="inlineStr">
        <is>
          <t>NO</t>
        </is>
      </c>
      <c r="H64" s="3" t="inlineStr">
        <is>
          <t>SKIP - NO WEBSITE</t>
        </is>
      </c>
      <c r="I64" s="15" t="n"/>
    </row>
    <row r="65" ht="15.75" customHeight="1" s="48">
      <c r="A65" s="3" t="inlineStr">
        <is>
          <t>High Performance Home Systems</t>
        </is>
      </c>
      <c r="B65" s="3" t="inlineStr">
        <is>
          <t>Houston, TX</t>
        </is>
      </c>
      <c r="C65" s="3">
        <f>+1 713-367-0098</f>
        <v/>
      </c>
      <c r="D65" s="3" t="inlineStr">
        <is>
          <t>NOT FOUND</t>
        </is>
      </c>
      <c r="E65" s="3" t="inlineStr">
        <is>
          <t>N/A</t>
        </is>
      </c>
      <c r="F65" s="5" t="n">
        <v>5</v>
      </c>
      <c r="G65" s="3" t="inlineStr">
        <is>
          <t>NO</t>
        </is>
      </c>
      <c r="H65" s="3" t="inlineStr">
        <is>
          <t>SKIP - NO WEBSITE</t>
        </is>
      </c>
      <c r="I65" s="15" t="n"/>
    </row>
    <row r="66" ht="15.75" customHeight="1" s="48">
      <c r="A66" s="3" t="inlineStr">
        <is>
          <t>Absolute Air Conditioning and Heating</t>
        </is>
      </c>
      <c r="B66" s="3" t="inlineStr">
        <is>
          <t>Houston, TX</t>
        </is>
      </c>
      <c r="C66" s="3">
        <f>+1 281-857-6712</f>
        <v/>
      </c>
      <c r="D66" s="3" t="inlineStr">
        <is>
          <t>NOT FOUND</t>
        </is>
      </c>
      <c r="E66" s="3" t="inlineStr">
        <is>
          <t>N/A</t>
        </is>
      </c>
      <c r="F66" s="5" t="n">
        <v>5</v>
      </c>
      <c r="G66" s="3" t="inlineStr">
        <is>
          <t>NO</t>
        </is>
      </c>
      <c r="H66" s="3" t="inlineStr">
        <is>
          <t>SKIP - NO WEBSITE</t>
        </is>
      </c>
      <c r="I66" s="15" t="n"/>
    </row>
    <row r="67" ht="15.75" customHeight="1" s="48">
      <c r="A67" s="3" t="inlineStr">
        <is>
          <t>Blueleaf Air Conditioning &amp; Heating</t>
        </is>
      </c>
      <c r="B67" s="3" t="inlineStr">
        <is>
          <t>Houston, TX</t>
        </is>
      </c>
      <c r="C67" s="3">
        <f>+1 713-295-9728</f>
        <v/>
      </c>
      <c r="D67" s="3" t="inlineStr">
        <is>
          <t>NOT FOUND</t>
        </is>
      </c>
      <c r="E67" s="3" t="inlineStr">
        <is>
          <t>N/A</t>
        </is>
      </c>
      <c r="F67" s="5" t="n">
        <v>4</v>
      </c>
      <c r="G67" s="3" t="inlineStr">
        <is>
          <t>NO</t>
        </is>
      </c>
      <c r="H67" s="3" t="inlineStr">
        <is>
          <t>SKIP - NO WEBSITE</t>
        </is>
      </c>
      <c r="I67" s="15" t="n"/>
    </row>
    <row r="68" ht="15.75" customHeight="1" s="48">
      <c r="A68" s="3" t="inlineStr">
        <is>
          <t>HVAC Repair &amp; Air Duct Contractors - Houston, TX</t>
        </is>
      </c>
      <c r="B68" s="3" t="inlineStr">
        <is>
          <t>Houston, TX</t>
        </is>
      </c>
      <c r="C68" s="3">
        <f>+1 713-379-9146</f>
        <v/>
      </c>
      <c r="D68" s="3" t="inlineStr">
        <is>
          <t>NOT FOUND</t>
        </is>
      </c>
      <c r="E68" s="3" t="inlineStr">
        <is>
          <t>N/A</t>
        </is>
      </c>
      <c r="F68" s="5" t="n">
        <v>4</v>
      </c>
      <c r="G68" s="3" t="inlineStr">
        <is>
          <t>NO</t>
        </is>
      </c>
      <c r="H68" s="3" t="inlineStr">
        <is>
          <t>SKIP - NO WEBSITE</t>
        </is>
      </c>
      <c r="I68" s="15" t="n"/>
    </row>
    <row r="69" ht="15.75" customHeight="1" s="48">
      <c r="A69" s="3" t="inlineStr">
        <is>
          <t>Arcadia HVAC Services - Heating &amp; Air Conditioning</t>
        </is>
      </c>
      <c r="B69" s="3" t="inlineStr">
        <is>
          <t>Pasadena, CA</t>
        </is>
      </c>
      <c r="C69" s="3">
        <f>+1 626-231-7959</f>
        <v/>
      </c>
      <c r="D69" s="3" t="inlineStr">
        <is>
          <t>NOT FOUND</t>
        </is>
      </c>
      <c r="E69" s="5" t="n">
        <v>4.9</v>
      </c>
      <c r="F69" s="5" t="n">
        <v>9</v>
      </c>
      <c r="G69" s="3" t="inlineStr">
        <is>
          <t>NO</t>
        </is>
      </c>
      <c r="H69" s="3" t="inlineStr">
        <is>
          <t>SKIP - NO WEBSITE</t>
        </is>
      </c>
      <c r="I69" s="15" t="n"/>
    </row>
    <row r="70" ht="15.75" customHeight="1" s="48">
      <c r="A70" s="3" t="inlineStr">
        <is>
          <t>Supreme HVAC Repair Arcadia CA</t>
        </is>
      </c>
      <c r="B70" s="3" t="inlineStr">
        <is>
          <t>Pasadena, CA</t>
        </is>
      </c>
      <c r="C70" s="3">
        <f>+1 626-275-9370</f>
        <v/>
      </c>
      <c r="D70" s="3" t="inlineStr">
        <is>
          <t>NOT FOUND</t>
        </is>
      </c>
      <c r="E70" s="5" t="n">
        <v>5</v>
      </c>
      <c r="F70" s="5" t="n">
        <v>31</v>
      </c>
      <c r="G70" s="3" t="inlineStr">
        <is>
          <t>NO</t>
        </is>
      </c>
      <c r="H70" s="3" t="inlineStr">
        <is>
          <t>SKIP - NO WEBSITE</t>
        </is>
      </c>
      <c r="I70" s="15" t="n"/>
    </row>
    <row r="71" ht="15.75" customHeight="1" s="48">
      <c r="A71" s="3" t="inlineStr">
        <is>
          <t>ABR Heating &amp; Air Conditioning</t>
        </is>
      </c>
      <c r="B71" s="3" t="inlineStr">
        <is>
          <t>Pasadena, CA</t>
        </is>
      </c>
      <c r="C71" s="3">
        <f>+1 626-671-1255</f>
        <v/>
      </c>
      <c r="D71" s="3" t="inlineStr">
        <is>
          <t>NOT FOUND</t>
        </is>
      </c>
      <c r="E71" s="5" t="n">
        <v>5</v>
      </c>
      <c r="F71" s="5" t="n">
        <v>7</v>
      </c>
      <c r="G71" s="3" t="inlineStr">
        <is>
          <t>NO</t>
        </is>
      </c>
      <c r="H71" s="3" t="inlineStr">
        <is>
          <t>SKIP - NO WEBSITE</t>
        </is>
      </c>
      <c r="I71" s="15" t="n"/>
    </row>
    <row r="72" ht="15.75" customHeight="1" s="48">
      <c r="A72" s="3" t="inlineStr">
        <is>
          <t>Coast Heating &amp; AC Repair Arcadia</t>
        </is>
      </c>
      <c r="B72" s="3" t="inlineStr">
        <is>
          <t>Pasadena, CA</t>
        </is>
      </c>
      <c r="C72" s="3">
        <f>+1 626-708-4832</f>
        <v/>
      </c>
      <c r="D72" s="3" t="inlineStr">
        <is>
          <t>NOT FOUND</t>
        </is>
      </c>
      <c r="E72" s="5" t="n">
        <v>4.6</v>
      </c>
      <c r="F72" s="5" t="n">
        <v>10</v>
      </c>
      <c r="G72" s="3" t="inlineStr">
        <is>
          <t>NO</t>
        </is>
      </c>
      <c r="H72" s="3" t="inlineStr">
        <is>
          <t>SKIP - NO WEBSITE</t>
        </is>
      </c>
      <c r="I72" s="15" t="n"/>
    </row>
    <row r="73" ht="15.75" customHeight="1" s="48">
      <c r="A73" s="3" t="inlineStr">
        <is>
          <t>Summer Heating &amp; Air Conditioning</t>
        </is>
      </c>
      <c r="B73" s="3" t="inlineStr">
        <is>
          <t>Pasadena, CA</t>
        </is>
      </c>
      <c r="C73" s="3">
        <f>+1 424-330-8191</f>
        <v/>
      </c>
      <c r="D73" s="3" t="inlineStr">
        <is>
          <t>NOT FOUND</t>
        </is>
      </c>
      <c r="E73" s="5" t="n">
        <v>5</v>
      </c>
      <c r="F73" s="5" t="n">
        <v>19</v>
      </c>
      <c r="G73" s="3" t="inlineStr">
        <is>
          <t>NO</t>
        </is>
      </c>
      <c r="H73" s="3" t="inlineStr">
        <is>
          <t>SKIP - NO WEBSITE</t>
        </is>
      </c>
      <c r="I73" s="15" t="n"/>
    </row>
    <row r="74" ht="15.75" customHeight="1" s="48">
      <c r="A74" s="3" t="inlineStr">
        <is>
          <t>Arcadias Heating and Air Conditioning</t>
        </is>
      </c>
      <c r="B74" s="3" t="inlineStr">
        <is>
          <t>Pasadena, CA</t>
        </is>
      </c>
      <c r="C74" s="3" t="inlineStr">
        <is>
          <t>NOT FOUND</t>
        </is>
      </c>
      <c r="D74" s="3" t="inlineStr">
        <is>
          <t>NOT FOUND</t>
        </is>
      </c>
      <c r="E74" s="5" t="n">
        <v>5</v>
      </c>
      <c r="F74" s="5" t="n">
        <v>2</v>
      </c>
      <c r="G74" s="3" t="inlineStr">
        <is>
          <t>NO</t>
        </is>
      </c>
      <c r="H74" s="3" t="inlineStr">
        <is>
          <t>SKIP - NO WEBSITE</t>
        </is>
      </c>
      <c r="I74" s="15" t="n"/>
    </row>
    <row r="75" ht="15.75" customHeight="1" s="48">
      <c r="A75" s="3" t="inlineStr">
        <is>
          <t>Coastal Comfort Heating &amp; AC Repair Arcadia</t>
        </is>
      </c>
      <c r="B75" s="3" t="inlineStr">
        <is>
          <t>Pasadena, CA</t>
        </is>
      </c>
      <c r="C75" s="3">
        <f>+1 626-360-1663</f>
        <v/>
      </c>
      <c r="D75" s="3" t="inlineStr">
        <is>
          <t>NOT FOUND</t>
        </is>
      </c>
      <c r="E75" s="5" t="n">
        <v>5</v>
      </c>
      <c r="F75" s="5" t="n">
        <v>1</v>
      </c>
      <c r="G75" s="3" t="inlineStr">
        <is>
          <t>NO</t>
        </is>
      </c>
      <c r="H75" s="3" t="inlineStr">
        <is>
          <t>SKIP - NO WEBSITE</t>
        </is>
      </c>
      <c r="I75" s="15" t="n"/>
    </row>
    <row r="76" ht="15.75" customHeight="1" s="48">
      <c r="A76" s="3" t="inlineStr">
        <is>
          <t>OSrXXb</t>
        </is>
      </c>
      <c r="B76" s="3" t="inlineStr">
        <is>
          <t>Pasadena, CA</t>
        </is>
      </c>
      <c r="C76" s="3" t="inlineStr">
        <is>
          <t>NOT FOUND</t>
        </is>
      </c>
      <c r="D76" s="3" t="inlineStr">
        <is>
          <t>NOT FOUND</t>
        </is>
      </c>
      <c r="E76" s="5" t="n">
        <v>40</v>
      </c>
      <c r="F76" s="5" t="n">
        <v>0</v>
      </c>
      <c r="G76" s="3" t="inlineStr">
        <is>
          <t>NO</t>
        </is>
      </c>
      <c r="H76" s="3" t="inlineStr">
        <is>
          <t>SKIP - NO WEBSITE</t>
        </is>
      </c>
      <c r="I76" s="15" t="n"/>
    </row>
    <row r="77" ht="15.75" customHeight="1" s="48">
      <c r="A77" s="3" t="inlineStr">
        <is>
          <t>T &amp; C HVAC</t>
        </is>
      </c>
      <c r="B77" s="3" t="inlineStr">
        <is>
          <t>Pasadena, CA</t>
        </is>
      </c>
      <c r="C77" s="3">
        <f>+1 626-244-2016</f>
        <v/>
      </c>
      <c r="D77" s="3" t="inlineStr">
        <is>
          <t>NOT FOUND</t>
        </is>
      </c>
      <c r="E77" s="5" t="n">
        <v>5</v>
      </c>
      <c r="F77" s="5" t="n">
        <v>32</v>
      </c>
      <c r="G77" s="3" t="inlineStr">
        <is>
          <t>NO</t>
        </is>
      </c>
      <c r="H77" s="3" t="inlineStr">
        <is>
          <t>SKIP - NO WEBSITE</t>
        </is>
      </c>
      <c r="I77" s="15" t="n"/>
    </row>
    <row r="78" ht="15.75" customHeight="1" s="48">
      <c r="A78" s="3" t="inlineStr">
        <is>
          <t>Ability Air Conditioning &amp; Heating Monrovia CA</t>
        </is>
      </c>
      <c r="B78" s="3" t="inlineStr">
        <is>
          <t>Pasadena, CA</t>
        </is>
      </c>
      <c r="C78" s="3">
        <f>+1 626-213-1822</f>
        <v/>
      </c>
      <c r="D78" s="3" t="inlineStr">
        <is>
          <t>NOT FOUND</t>
        </is>
      </c>
      <c r="E78" s="5" t="n">
        <v>5</v>
      </c>
      <c r="F78" s="5" t="n">
        <v>9</v>
      </c>
      <c r="G78" s="3" t="inlineStr">
        <is>
          <t>NO</t>
        </is>
      </c>
      <c r="H78" s="3" t="inlineStr">
        <is>
          <t>SKIP - NO WEBSITE</t>
        </is>
      </c>
      <c r="I78" s="15" t="n"/>
    </row>
    <row r="79" ht="15.75" customHeight="1" s="48">
      <c r="A79" s="3" t="inlineStr">
        <is>
          <t>Ace Status Heating and Air Conditioning LLC</t>
        </is>
      </c>
      <c r="B79" s="3" t="inlineStr">
        <is>
          <t>Pasadena, CA</t>
        </is>
      </c>
      <c r="C79" s="3">
        <f>+1 626-754-7484</f>
        <v/>
      </c>
      <c r="D79" s="3" t="inlineStr">
        <is>
          <t>NOT FOUND</t>
        </is>
      </c>
      <c r="E79" s="5" t="n">
        <v>5</v>
      </c>
      <c r="F79" s="5" t="n">
        <v>1</v>
      </c>
      <c r="G79" s="3" t="inlineStr">
        <is>
          <t>NO</t>
        </is>
      </c>
      <c r="H79" s="3" t="inlineStr">
        <is>
          <t>SKIP - NO WEBSITE</t>
        </is>
      </c>
      <c r="I79" s="15" t="n"/>
    </row>
    <row r="80" ht="15.75" customHeight="1" s="48">
      <c r="A80" s="3" t="inlineStr">
        <is>
          <t>Johnny's Air Conditioning</t>
        </is>
      </c>
      <c r="B80" s="3" t="inlineStr">
        <is>
          <t>Pasadena, CA</t>
        </is>
      </c>
      <c r="C80" s="3">
        <f>+1 626-794-1187</f>
        <v/>
      </c>
      <c r="D80" s="3" t="inlineStr">
        <is>
          <t>NOT FOUND</t>
        </is>
      </c>
      <c r="E80" s="5" t="n">
        <v>4.9</v>
      </c>
      <c r="F80" s="5" t="n">
        <v>34</v>
      </c>
      <c r="G80" s="3" t="inlineStr">
        <is>
          <t>NO</t>
        </is>
      </c>
      <c r="H80" s="3" t="inlineStr">
        <is>
          <t>SKIP - NO WEBSITE</t>
        </is>
      </c>
      <c r="I80" s="15" t="n"/>
    </row>
    <row r="81" ht="15.75" customHeight="1" s="48">
      <c r="A81" s="3" t="inlineStr">
        <is>
          <t>Connor Air Conditioning &amp; Heating</t>
        </is>
      </c>
      <c r="B81" s="3" t="inlineStr">
        <is>
          <t>Pasadena, CA</t>
        </is>
      </c>
      <c r="C81" s="3">
        <f>+1 626-286-3157</f>
        <v/>
      </c>
      <c r="D81" s="3" t="inlineStr">
        <is>
          <t>NOT FOUND</t>
        </is>
      </c>
      <c r="E81" s="5" t="n">
        <v>4.7</v>
      </c>
      <c r="F81" s="5" t="n">
        <v>53</v>
      </c>
      <c r="G81" s="3" t="inlineStr">
        <is>
          <t>NO</t>
        </is>
      </c>
      <c r="H81" s="3" t="inlineStr">
        <is>
          <t>SKIP - NO WEBSITE</t>
        </is>
      </c>
      <c r="I81" s="15" t="n"/>
    </row>
    <row r="82" ht="15.75" customHeight="1" s="48">
      <c r="A82" s="3" t="inlineStr">
        <is>
          <t>Heating &amp; Cooling</t>
        </is>
      </c>
      <c r="B82" s="3" t="inlineStr">
        <is>
          <t>Pasadena, CA</t>
        </is>
      </c>
      <c r="C82" s="3">
        <f>+1 626-681-1152</f>
        <v/>
      </c>
      <c r="D82" s="3" t="inlineStr">
        <is>
          <t>NOT FOUND</t>
        </is>
      </c>
      <c r="E82" s="5" t="n">
        <v>5</v>
      </c>
      <c r="F82" s="5" t="n">
        <v>6</v>
      </c>
      <c r="G82" s="3" t="inlineStr">
        <is>
          <t>NO</t>
        </is>
      </c>
      <c r="H82" s="3" t="inlineStr">
        <is>
          <t>SKIP - NO WEBSITE</t>
        </is>
      </c>
      <c r="I82" s="15" t="n"/>
    </row>
    <row r="83" ht="15.75" customHeight="1" s="48">
      <c r="A83" s="3" t="inlineStr">
        <is>
          <t>Manny's Heating &amp; Air Conditioning</t>
        </is>
      </c>
      <c r="B83" s="3" t="inlineStr">
        <is>
          <t>Pasadena, CA</t>
        </is>
      </c>
      <c r="C83" s="3">
        <f>+1 323-774-4032</f>
        <v/>
      </c>
      <c r="D83" s="3" t="inlineStr">
        <is>
          <t>NOT FOUND</t>
        </is>
      </c>
      <c r="E83" s="5" t="n">
        <v>4.9</v>
      </c>
      <c r="F83" s="5" t="n">
        <v>183</v>
      </c>
      <c r="G83" s="3" t="inlineStr">
        <is>
          <t>NO</t>
        </is>
      </c>
      <c r="H83" s="3" t="inlineStr">
        <is>
          <t>SKIP - NO WEBSITE</t>
        </is>
      </c>
      <c r="I83" s="15" t="n"/>
    </row>
    <row r="84" ht="15.75" customHeight="1" s="48">
      <c r="A84" s="3" t="inlineStr">
        <is>
          <t>A1 Heating Repair</t>
        </is>
      </c>
      <c r="B84" s="3" t="inlineStr">
        <is>
          <t>Pasadena, CA</t>
        </is>
      </c>
      <c r="C84" s="3">
        <f>+1 626-737-8517</f>
        <v/>
      </c>
      <c r="D84" s="3" t="inlineStr">
        <is>
          <t>NOT FOUND</t>
        </is>
      </c>
      <c r="E84" s="5" t="n">
        <v>5</v>
      </c>
      <c r="F84" s="5" t="n">
        <v>6</v>
      </c>
      <c r="G84" s="3" t="inlineStr">
        <is>
          <t>NO</t>
        </is>
      </c>
      <c r="H84" s="3" t="inlineStr">
        <is>
          <t>SKIP - NO WEBSITE</t>
        </is>
      </c>
      <c r="I84" s="15" t="n"/>
    </row>
    <row r="85" ht="15.75" customHeight="1" s="48">
      <c r="A85" s="3" t="inlineStr">
        <is>
          <t>Arcadia Chimney sweep &amp; Air Duct Cleaning Service</t>
        </is>
      </c>
      <c r="B85" s="3" t="inlineStr">
        <is>
          <t>Pasadena, CA</t>
        </is>
      </c>
      <c r="C85" s="3">
        <f>+1 626-631-2165</f>
        <v/>
      </c>
      <c r="D85" s="3" t="inlineStr">
        <is>
          <t>NOT FOUND</t>
        </is>
      </c>
      <c r="E85" s="5" t="n">
        <v>4.9</v>
      </c>
      <c r="F85" s="5" t="n">
        <v>77</v>
      </c>
      <c r="G85" s="3" t="inlineStr">
        <is>
          <t>NO</t>
        </is>
      </c>
      <c r="H85" s="3" t="inlineStr">
        <is>
          <t>SKIP - NO WEBSITE</t>
        </is>
      </c>
      <c r="I85" s="15" t="n"/>
    </row>
    <row r="86" ht="15.75" customHeight="1" s="48">
      <c r="A86" s="3" t="inlineStr">
        <is>
          <t>Multi Air Service LLC</t>
        </is>
      </c>
      <c r="B86" s="3" t="inlineStr">
        <is>
          <t>Pasadena, CA</t>
        </is>
      </c>
      <c r="C86" s="3">
        <f>+1 626-463-8130</f>
        <v/>
      </c>
      <c r="D86" s="3" t="inlineStr">
        <is>
          <t>NOT FOUND</t>
        </is>
      </c>
      <c r="E86" s="5" t="n">
        <v>4.9</v>
      </c>
      <c r="F86" s="5" t="n">
        <v>27</v>
      </c>
      <c r="G86" s="3" t="inlineStr">
        <is>
          <t>NO</t>
        </is>
      </c>
      <c r="H86" s="3" t="inlineStr">
        <is>
          <t>SKIP - NO WEBSITE</t>
        </is>
      </c>
      <c r="I86" s="15" t="n"/>
    </row>
    <row r="87" ht="15.75" customHeight="1" s="48">
      <c r="A87" s="3" t="inlineStr">
        <is>
          <t>Temp Kings Air</t>
        </is>
      </c>
      <c r="B87" s="3" t="inlineStr">
        <is>
          <t>Pasadena, CA</t>
        </is>
      </c>
      <c r="C87" s="3">
        <f>+1 626-400-5300</f>
        <v/>
      </c>
      <c r="D87" s="3" t="inlineStr">
        <is>
          <t>NOT FOUND</t>
        </is>
      </c>
      <c r="E87" s="5" t="n">
        <v>5</v>
      </c>
      <c r="F87" s="5" t="n">
        <v>52</v>
      </c>
      <c r="G87" s="3" t="inlineStr">
        <is>
          <t>NO</t>
        </is>
      </c>
      <c r="H87" s="3" t="inlineStr">
        <is>
          <t>SKIP - NO WEBSITE</t>
        </is>
      </c>
      <c r="I87" s="15" t="n"/>
    </row>
    <row r="88" ht="15.75" customHeight="1" s="48">
      <c r="A88" s="3" t="inlineStr">
        <is>
          <t>Precise Air Systems Inc.</t>
        </is>
      </c>
      <c r="B88" s="3" t="inlineStr">
        <is>
          <t>Pasadena, CA</t>
        </is>
      </c>
      <c r="C88" s="3">
        <f>+1 818-240-1737</f>
        <v/>
      </c>
      <c r="D88" s="3" t="inlineStr">
        <is>
          <t>NOT FOUND</t>
        </is>
      </c>
      <c r="E88" s="5" t="n">
        <v>4.9</v>
      </c>
      <c r="F88" s="5" t="n">
        <v>434</v>
      </c>
      <c r="G88" s="3" t="inlineStr">
        <is>
          <t>NO</t>
        </is>
      </c>
      <c r="H88" s="3" t="inlineStr">
        <is>
          <t>SKIP - NO WEBSITE</t>
        </is>
      </c>
      <c r="I88" s="15" t="n"/>
    </row>
    <row r="89" ht="15.75" customHeight="1" s="48">
      <c r="A89" s="3" t="inlineStr">
        <is>
          <t>Five Star Heating &amp; Air</t>
        </is>
      </c>
      <c r="B89" s="3" t="inlineStr">
        <is>
          <t>Pasadena, CA</t>
        </is>
      </c>
      <c r="C89" s="3">
        <f>+1 818-625-4400</f>
        <v/>
      </c>
      <c r="D89" s="3" t="inlineStr">
        <is>
          <t>NOT FOUND</t>
        </is>
      </c>
      <c r="E89" s="5" t="n">
        <v>5</v>
      </c>
      <c r="F89" s="5" t="n">
        <v>1</v>
      </c>
      <c r="G89" s="3" t="inlineStr">
        <is>
          <t>NO</t>
        </is>
      </c>
      <c r="H89" s="3" t="inlineStr">
        <is>
          <t>SKIP - NO WEBSITE</t>
        </is>
      </c>
      <c r="I89" s="15" t="n"/>
    </row>
    <row r="90" ht="15.75" customHeight="1" s="48">
      <c r="A90" s="3" t="inlineStr">
        <is>
          <t>Piggies Air Conditioning</t>
        </is>
      </c>
      <c r="B90" s="3" t="inlineStr">
        <is>
          <t>Pasadena, CA</t>
        </is>
      </c>
      <c r="C90" s="3">
        <f>+1 626-676-2592</f>
        <v/>
      </c>
      <c r="D90" s="3" t="inlineStr">
        <is>
          <t>NOT FOUND</t>
        </is>
      </c>
      <c r="E90" s="5" t="n">
        <v>4.8</v>
      </c>
      <c r="F90" s="5" t="n">
        <v>37</v>
      </c>
      <c r="G90" s="3" t="inlineStr">
        <is>
          <t>NO</t>
        </is>
      </c>
      <c r="H90" s="3" t="inlineStr">
        <is>
          <t>SKIP - NO WEBSITE</t>
        </is>
      </c>
      <c r="I90" s="15" t="n"/>
    </row>
    <row r="91" ht="15.75" customHeight="1" s="48">
      <c r="A91" s="3" t="inlineStr">
        <is>
          <t>Evergreen Air Conditioning Repair Service Monrovia LLC</t>
        </is>
      </c>
      <c r="B91" s="3" t="inlineStr">
        <is>
          <t>Pasadena, CA</t>
        </is>
      </c>
      <c r="C91" s="3">
        <f>+1 951-356-3594</f>
        <v/>
      </c>
      <c r="D91" s="3" t="inlineStr">
        <is>
          <t>NOT FOUND</t>
        </is>
      </c>
      <c r="E91" s="5" t="n">
        <v>5</v>
      </c>
      <c r="F91" s="5" t="n">
        <v>4</v>
      </c>
      <c r="G91" s="3" t="inlineStr">
        <is>
          <t>NO</t>
        </is>
      </c>
      <c r="H91" s="3" t="inlineStr">
        <is>
          <t>SKIP - NO WEBSITE</t>
        </is>
      </c>
      <c r="I91" s="15" t="n"/>
    </row>
    <row r="92" ht="15.75" customHeight="1" s="48">
      <c r="A92" s="3" t="inlineStr">
        <is>
          <t>Iwai Cooling &amp; Heating</t>
        </is>
      </c>
      <c r="B92" s="3" t="inlineStr">
        <is>
          <t>Pasadena, CA</t>
        </is>
      </c>
      <c r="C92" s="3">
        <f>+1 626-932-1163</f>
        <v/>
      </c>
      <c r="D92" s="3" t="inlineStr">
        <is>
          <t>NOT FOUND</t>
        </is>
      </c>
      <c r="E92" s="5" t="n">
        <v>5</v>
      </c>
      <c r="F92" s="5" t="n">
        <v>9</v>
      </c>
      <c r="G92" s="3" t="inlineStr">
        <is>
          <t>NO</t>
        </is>
      </c>
      <c r="H92" s="3" t="inlineStr">
        <is>
          <t>SKIP - NO WEBSITE</t>
        </is>
      </c>
      <c r="I92" s="15" t="n"/>
    </row>
    <row r="93" ht="15.75" customHeight="1" s="48">
      <c r="A93" s="3" t="inlineStr">
        <is>
          <t>Access Heating &amp; Air Conditioning, Inc.</t>
        </is>
      </c>
      <c r="B93" s="3" t="inlineStr">
        <is>
          <t>Pasadena, CA</t>
        </is>
      </c>
      <c r="C93" s="3">
        <f>+1 626-405-1074</f>
        <v/>
      </c>
      <c r="D93" s="3" t="inlineStr">
        <is>
          <t>NOT FOUND</t>
        </is>
      </c>
      <c r="E93" s="5" t="n">
        <v>5</v>
      </c>
      <c r="F93" s="5" t="n">
        <v>21</v>
      </c>
      <c r="G93" s="3" t="inlineStr">
        <is>
          <t>NO</t>
        </is>
      </c>
      <c r="H93" s="3" t="inlineStr">
        <is>
          <t>SKIP - NO WEBSITE</t>
        </is>
      </c>
      <c r="I93" s="15" t="n"/>
    </row>
    <row r="94" ht="15.75" customHeight="1" s="48">
      <c r="A94" s="3" t="inlineStr">
        <is>
          <t>Evergreen Air Conditioning Repair Services Monrovia</t>
        </is>
      </c>
      <c r="B94" s="3" t="inlineStr">
        <is>
          <t>Pasadena, CA</t>
        </is>
      </c>
      <c r="C94" s="3">
        <f>+1 951-356-3594</f>
        <v/>
      </c>
      <c r="D94" s="3" t="inlineStr">
        <is>
          <t>NOT FOUND</t>
        </is>
      </c>
      <c r="E94" s="5" t="n">
        <v>5</v>
      </c>
      <c r="F94" s="5" t="n">
        <v>5</v>
      </c>
      <c r="G94" s="3" t="inlineStr">
        <is>
          <t>NO</t>
        </is>
      </c>
      <c r="H94" s="3" t="inlineStr">
        <is>
          <t>SKIP - NO WEBSITE</t>
        </is>
      </c>
      <c r="I94" s="15" t="n"/>
    </row>
    <row r="95" ht="15.75" customHeight="1" s="48">
      <c r="A95" s="3" t="inlineStr">
        <is>
          <t>A &amp; L HVAC Sierra Madre</t>
        </is>
      </c>
      <c r="B95" s="3" t="inlineStr">
        <is>
          <t>Pasadena, CA</t>
        </is>
      </c>
      <c r="C95" s="3">
        <f>+1 626-244-2038</f>
        <v/>
      </c>
      <c r="D95" s="3" t="inlineStr">
        <is>
          <t>NOT FOUND</t>
        </is>
      </c>
      <c r="E95" s="5" t="n">
        <v>4.3</v>
      </c>
      <c r="F95" s="5" t="n">
        <v>11</v>
      </c>
      <c r="G95" s="3" t="inlineStr">
        <is>
          <t>NO</t>
        </is>
      </c>
      <c r="H95" s="3" t="inlineStr">
        <is>
          <t>SKIP - NO WEBSITE</t>
        </is>
      </c>
      <c r="I95" s="15" t="n"/>
    </row>
    <row r="96" ht="15.75" customHeight="1" s="48">
      <c r="A96" s="3" t="inlineStr">
        <is>
          <t>Thermal Tech Heating and Air</t>
        </is>
      </c>
      <c r="B96" s="3" t="inlineStr">
        <is>
          <t>Pasadena, CA</t>
        </is>
      </c>
      <c r="C96" s="3">
        <f>+1 626-807-0422</f>
        <v/>
      </c>
      <c r="D96" s="3" t="inlineStr">
        <is>
          <t>NOT FOUND</t>
        </is>
      </c>
      <c r="E96" s="5" t="n">
        <v>5</v>
      </c>
      <c r="F96" s="5" t="n">
        <v>6</v>
      </c>
      <c r="G96" s="3" t="inlineStr">
        <is>
          <t>NO</t>
        </is>
      </c>
      <c r="H96" s="3" t="inlineStr">
        <is>
          <t>SKIP - NO WEBSITE</t>
        </is>
      </c>
      <c r="I96" s="15" t="n"/>
    </row>
    <row r="97" ht="15.75" customHeight="1" s="48">
      <c r="A97" s="3" t="inlineStr">
        <is>
          <t>San Francisco Heating &amp; Air Conditioning Services</t>
        </is>
      </c>
      <c r="B97" s="3" t="inlineStr">
        <is>
          <t>San Francisco, CA</t>
        </is>
      </c>
      <c r="C97" s="3">
        <f>+1 415-935-8149</f>
        <v/>
      </c>
      <c r="D97" s="3" t="inlineStr">
        <is>
          <t>NOT FOUND</t>
        </is>
      </c>
      <c r="E97" s="5" t="n">
        <v>4.8</v>
      </c>
      <c r="F97" s="5" t="n">
        <v>39</v>
      </c>
      <c r="G97" s="3" t="inlineStr">
        <is>
          <t>NO</t>
        </is>
      </c>
      <c r="H97" s="3" t="inlineStr">
        <is>
          <t>SKIP - NO WEBSITE</t>
        </is>
      </c>
      <c r="I97" s="15" t="n"/>
    </row>
    <row r="98" ht="15.75" customHeight="1" s="48">
      <c r="A98" s="3" t="inlineStr">
        <is>
          <t>Duboce Triangle Air Conditioner Repair</t>
        </is>
      </c>
      <c r="B98" s="3" t="inlineStr">
        <is>
          <t>San Francisco, CA</t>
        </is>
      </c>
      <c r="C98" s="3">
        <f>+1 415-527-5164</f>
        <v/>
      </c>
      <c r="D98" s="3" t="inlineStr">
        <is>
          <t>NOT FOUND</t>
        </is>
      </c>
      <c r="E98" s="5" t="n">
        <v>5</v>
      </c>
      <c r="F98" s="5" t="n">
        <v>53</v>
      </c>
      <c r="G98" s="3" t="inlineStr">
        <is>
          <t>NO</t>
        </is>
      </c>
      <c r="H98" s="3" t="inlineStr">
        <is>
          <t>SKIP - NO WEBSITE</t>
        </is>
      </c>
      <c r="I98" s="15" t="n"/>
    </row>
    <row r="99" ht="15.75" customHeight="1" s="48">
      <c r="A99" s="3" t="inlineStr">
        <is>
          <t>Mitch &amp; Sons HVAC</t>
        </is>
      </c>
      <c r="B99" s="3" t="inlineStr">
        <is>
          <t>San Francisco, CA</t>
        </is>
      </c>
      <c r="C99" s="3">
        <f>+1 415-358-8923</f>
        <v/>
      </c>
      <c r="D99" s="3" t="inlineStr">
        <is>
          <t>NOT FOUND</t>
        </is>
      </c>
      <c r="E99" s="5" t="n">
        <v>4.9</v>
      </c>
      <c r="F99" s="5" t="n">
        <v>37</v>
      </c>
      <c r="G99" s="3" t="inlineStr">
        <is>
          <t>NO</t>
        </is>
      </c>
      <c r="H99" s="3" t="inlineStr">
        <is>
          <t>SKIP - NO WEBSITE</t>
        </is>
      </c>
      <c r="I99" s="15" t="n"/>
    </row>
    <row r="100" ht="15.75" customHeight="1" s="48">
      <c r="A100" s="3" t="inlineStr">
        <is>
          <t>Heating &amp; Air Conditioning San Francisco</t>
        </is>
      </c>
      <c r="B100" s="3" t="inlineStr">
        <is>
          <t>San Francisco, CA</t>
        </is>
      </c>
      <c r="C100" s="3">
        <f>+1 415-942-9881</f>
        <v/>
      </c>
      <c r="D100" s="3" t="inlineStr">
        <is>
          <t>NOT FOUND</t>
        </is>
      </c>
      <c r="E100" s="5" t="n">
        <v>5</v>
      </c>
      <c r="F100" s="5" t="n">
        <v>7</v>
      </c>
      <c r="G100" s="3" t="inlineStr">
        <is>
          <t>NO</t>
        </is>
      </c>
      <c r="H100" s="3" t="inlineStr">
        <is>
          <t>SKIP - NO WEBSITE</t>
        </is>
      </c>
      <c r="I100" s="15" t="n"/>
    </row>
    <row r="101" ht="15.75" customHeight="1" s="48">
      <c r="A101" s="3" t="inlineStr">
        <is>
          <t>OSrXXb</t>
        </is>
      </c>
      <c r="B101" s="3" t="inlineStr">
        <is>
          <t>San Francisco, CA</t>
        </is>
      </c>
      <c r="C101" s="3" t="inlineStr">
        <is>
          <t>NOT FOUND</t>
        </is>
      </c>
      <c r="D101" s="3" t="inlineStr">
        <is>
          <t>NOT FOUND</t>
        </is>
      </c>
      <c r="E101" s="3" t="inlineStr">
        <is>
          <t>N/A</t>
        </is>
      </c>
      <c r="F101" s="5" t="n">
        <v>40</v>
      </c>
      <c r="G101" s="3" t="inlineStr">
        <is>
          <t>NO</t>
        </is>
      </c>
      <c r="H101" s="3" t="inlineStr">
        <is>
          <t>SKIP - NO WEBSITE</t>
        </is>
      </c>
      <c r="I101" s="15" t="n"/>
    </row>
    <row r="102" ht="15.75" customHeight="1" s="48">
      <c r="A102" s="3" t="inlineStr">
        <is>
          <t>Best AC Service San Francisco</t>
        </is>
      </c>
      <c r="B102" s="3" t="inlineStr">
        <is>
          <t>San Francisco, CA</t>
        </is>
      </c>
      <c r="C102" s="3">
        <f>+1 415-534-2170</f>
        <v/>
      </c>
      <c r="D102" s="3" t="inlineStr">
        <is>
          <t>NOT FOUND</t>
        </is>
      </c>
      <c r="E102" s="3" t="inlineStr">
        <is>
          <t>N/A</t>
        </is>
      </c>
      <c r="F102" s="5" t="n">
        <v>5</v>
      </c>
      <c r="G102" s="3" t="inlineStr">
        <is>
          <t>NO</t>
        </is>
      </c>
      <c r="H102" s="3" t="inlineStr">
        <is>
          <t>SKIP - NO WEBSITE</t>
        </is>
      </c>
      <c r="I102" s="15" t="n"/>
    </row>
    <row r="103" ht="15.75" customHeight="1" s="48">
      <c r="A103" s="3" t="inlineStr">
        <is>
          <t>Cole Valley Air Conditioner Repair</t>
        </is>
      </c>
      <c r="B103" s="3" t="inlineStr">
        <is>
          <t>San Francisco, CA</t>
        </is>
      </c>
      <c r="C103" s="3">
        <f>+1 415-906-7519</f>
        <v/>
      </c>
      <c r="D103" s="3" t="inlineStr">
        <is>
          <t>NOT FOUND</t>
        </is>
      </c>
      <c r="E103" s="3" t="inlineStr">
        <is>
          <t>N/A</t>
        </is>
      </c>
      <c r="F103" s="5" t="n">
        <v>4</v>
      </c>
      <c r="G103" s="3" t="inlineStr">
        <is>
          <t>NO</t>
        </is>
      </c>
      <c r="H103" s="3" t="inlineStr">
        <is>
          <t>SKIP - NO WEBSITE</t>
        </is>
      </c>
      <c r="I103" s="15" t="n"/>
    </row>
    <row r="104" ht="15.75" customHeight="1" s="48">
      <c r="A104" s="3" t="inlineStr">
        <is>
          <t>Heating &amp; Cooling San Francisco</t>
        </is>
      </c>
      <c r="B104" s="3" t="inlineStr">
        <is>
          <t>San Francisco, CA</t>
        </is>
      </c>
      <c r="C104" s="3">
        <f>+1 415-825-6649</f>
        <v/>
      </c>
      <c r="D104" s="3" t="inlineStr">
        <is>
          <t>NOT FOUND</t>
        </is>
      </c>
      <c r="E104" s="3" t="inlineStr">
        <is>
          <t>N/A</t>
        </is>
      </c>
      <c r="F104" s="5" t="n">
        <v>4</v>
      </c>
      <c r="G104" s="3" t="inlineStr">
        <is>
          <t>NO</t>
        </is>
      </c>
      <c r="H104" s="3" t="inlineStr">
        <is>
          <t>SKIP - NO WEBSITE</t>
        </is>
      </c>
      <c r="I104" s="15" t="n"/>
    </row>
    <row r="105" ht="15.75" customHeight="1" s="48">
      <c r="A105" s="3" t="inlineStr">
        <is>
          <t>Neighborly HVAC The Castro</t>
        </is>
      </c>
      <c r="B105" s="3" t="inlineStr">
        <is>
          <t>San Francisco, CA</t>
        </is>
      </c>
      <c r="C105" s="3">
        <f>+1 415-527-3249</f>
        <v/>
      </c>
      <c r="D105" s="3" t="inlineStr">
        <is>
          <t>NOT FOUND</t>
        </is>
      </c>
      <c r="E105" s="3" t="inlineStr">
        <is>
          <t>N/A</t>
        </is>
      </c>
      <c r="F105" s="5" t="n">
        <v>5</v>
      </c>
      <c r="G105" s="3" t="inlineStr">
        <is>
          <t>NO</t>
        </is>
      </c>
      <c r="H105" s="3" t="inlineStr">
        <is>
          <t>SKIP - NO WEBSITE</t>
        </is>
      </c>
      <c r="I105" s="15" t="n"/>
    </row>
    <row r="106" ht="15.75" customHeight="1" s="48">
      <c r="A106" s="3" t="inlineStr">
        <is>
          <t>Heating &amp; Cooling San Francisco</t>
        </is>
      </c>
      <c r="B106" s="3" t="inlineStr">
        <is>
          <t>San Francisco, CA</t>
        </is>
      </c>
      <c r="C106" s="3">
        <f>+1 415-855-7160</f>
        <v/>
      </c>
      <c r="D106" s="3" t="inlineStr">
        <is>
          <t>NOT FOUND</t>
        </is>
      </c>
      <c r="E106" s="3" t="inlineStr">
        <is>
          <t>N/A</t>
        </is>
      </c>
      <c r="F106" s="5" t="n">
        <v>5</v>
      </c>
      <c r="G106" s="3" t="inlineStr">
        <is>
          <t>NO</t>
        </is>
      </c>
      <c r="H106" s="3" t="inlineStr">
        <is>
          <t>SKIP - NO WEBSITE</t>
        </is>
      </c>
      <c r="I106" s="15" t="n"/>
    </row>
    <row r="107" ht="15.75" customHeight="1" s="48">
      <c r="A107" s="3" t="inlineStr">
        <is>
          <t>Ironpoint Heating Service LLC.</t>
        </is>
      </c>
      <c r="B107" s="3" t="inlineStr">
        <is>
          <t>San Francisco, CA</t>
        </is>
      </c>
      <c r="C107" s="3">
        <f>+1 415-907-5080</f>
        <v/>
      </c>
      <c r="D107" s="3" t="inlineStr">
        <is>
          <t>NOT FOUND</t>
        </is>
      </c>
      <c r="E107" s="3" t="inlineStr">
        <is>
          <t>N/A</t>
        </is>
      </c>
      <c r="F107" s="5" t="n">
        <v>5</v>
      </c>
      <c r="G107" s="3" t="inlineStr">
        <is>
          <t>NO</t>
        </is>
      </c>
      <c r="H107" s="3" t="inlineStr">
        <is>
          <t>SKIP - NO WEBSITE</t>
        </is>
      </c>
      <c r="I107" s="15" t="n"/>
    </row>
    <row r="108" ht="15.75" customHeight="1" s="48">
      <c r="A108" s="3" t="inlineStr">
        <is>
          <t>AC Service Crew Oceanview</t>
        </is>
      </c>
      <c r="B108" s="3" t="inlineStr">
        <is>
          <t>San Francisco, CA</t>
        </is>
      </c>
      <c r="C108" s="3">
        <f>+1 415-952-1167</f>
        <v/>
      </c>
      <c r="D108" s="3" t="inlineStr">
        <is>
          <t>NOT FOUND</t>
        </is>
      </c>
      <c r="E108" s="3" t="inlineStr">
        <is>
          <t>N/A</t>
        </is>
      </c>
      <c r="F108" s="5" t="n">
        <v>5</v>
      </c>
      <c r="G108" s="3" t="inlineStr">
        <is>
          <t>NO</t>
        </is>
      </c>
      <c r="H108" s="3" t="inlineStr">
        <is>
          <t>SKIP - NO WEBSITE</t>
        </is>
      </c>
      <c r="I108" s="15" t="n"/>
    </row>
    <row r="109" ht="15.75" customHeight="1" s="48">
      <c r="A109" s="3" t="inlineStr">
        <is>
          <t>Heating &amp; Air Conditioning San Francisco</t>
        </is>
      </c>
      <c r="B109" s="3" t="inlineStr">
        <is>
          <t>San Francisco, CA</t>
        </is>
      </c>
      <c r="C109" s="3">
        <f>+1 415-825-6648</f>
        <v/>
      </c>
      <c r="D109" s="3" t="inlineStr">
        <is>
          <t>NOT FOUND</t>
        </is>
      </c>
      <c r="E109" s="3" t="inlineStr">
        <is>
          <t>N/A</t>
        </is>
      </c>
      <c r="F109" s="5" t="n">
        <v>4</v>
      </c>
      <c r="G109" s="3" t="inlineStr">
        <is>
          <t>NO</t>
        </is>
      </c>
      <c r="H109" s="3" t="inlineStr">
        <is>
          <t>SKIP - NO WEBSITE</t>
        </is>
      </c>
      <c r="I109" s="15" t="n"/>
    </row>
    <row r="110" ht="15.75" customHeight="1" s="48">
      <c r="A110" s="3" t="inlineStr">
        <is>
          <t>Apollo Heating &amp; Ventilating</t>
        </is>
      </c>
      <c r="B110" s="3" t="inlineStr">
        <is>
          <t>San Francisco, CA</t>
        </is>
      </c>
      <c r="C110" s="3">
        <f>+1 415-585-3635</f>
        <v/>
      </c>
      <c r="D110" s="3" t="inlineStr">
        <is>
          <t>NOT FOUND</t>
        </is>
      </c>
      <c r="E110" s="3" t="inlineStr">
        <is>
          <t>N/A</t>
        </is>
      </c>
      <c r="F110" s="5" t="n">
        <v>5</v>
      </c>
      <c r="G110" s="3" t="inlineStr">
        <is>
          <t>NO</t>
        </is>
      </c>
      <c r="H110" s="3" t="inlineStr">
        <is>
          <t>SKIP - NO WEBSITE</t>
        </is>
      </c>
      <c r="I110" s="15" t="n"/>
    </row>
    <row r="111" ht="15.75" customHeight="1" s="48">
      <c r="A111" s="3" t="inlineStr">
        <is>
          <t>Castro Air Conditioner Repair</t>
        </is>
      </c>
      <c r="B111" s="3" t="inlineStr">
        <is>
          <t>San Francisco, CA</t>
        </is>
      </c>
      <c r="C111" s="3">
        <f>+1 415-582-6736</f>
        <v/>
      </c>
      <c r="D111" s="3" t="inlineStr">
        <is>
          <t>NOT FOUND</t>
        </is>
      </c>
      <c r="E111" s="3" t="inlineStr">
        <is>
          <t>N/A</t>
        </is>
      </c>
      <c r="F111" s="5" t="n">
        <v>5</v>
      </c>
      <c r="G111" s="3" t="inlineStr">
        <is>
          <t>NO</t>
        </is>
      </c>
      <c r="H111" s="3" t="inlineStr">
        <is>
          <t>SKIP - NO WEBSITE</t>
        </is>
      </c>
      <c r="I111" s="15" t="n"/>
    </row>
    <row r="112" ht="15.75" customHeight="1" s="48">
      <c r="A112" s="3" t="inlineStr">
        <is>
          <t>Heating &amp; Cooling San Francisco</t>
        </is>
      </c>
      <c r="B112" s="3" t="inlineStr">
        <is>
          <t>San Francisco, CA</t>
        </is>
      </c>
      <c r="C112" s="3">
        <f>+1 415-825-6828</f>
        <v/>
      </c>
      <c r="D112" s="3" t="inlineStr">
        <is>
          <t>NOT FOUND</t>
        </is>
      </c>
      <c r="E112" s="3" t="inlineStr">
        <is>
          <t>N/A</t>
        </is>
      </c>
      <c r="F112" s="5" t="n">
        <v>5</v>
      </c>
      <c r="G112" s="3" t="inlineStr">
        <is>
          <t>NO</t>
        </is>
      </c>
      <c r="H112" s="3" t="inlineStr">
        <is>
          <t>SKIP - NO WEBSITE</t>
        </is>
      </c>
      <c r="I112" s="15" t="n"/>
    </row>
    <row r="113" ht="15.75" customHeight="1" s="48">
      <c r="A113" s="3" t="inlineStr">
        <is>
          <t>San Francisco Heating and Air Conditioning Inc..</t>
        </is>
      </c>
      <c r="B113" s="3" t="inlineStr">
        <is>
          <t>San Francisco, CA</t>
        </is>
      </c>
      <c r="C113" s="3">
        <f>+1 628-229-3860</f>
        <v/>
      </c>
      <c r="D113" s="3" t="inlineStr">
        <is>
          <t>NOT FOUND</t>
        </is>
      </c>
      <c r="E113" s="3" t="inlineStr">
        <is>
          <t>N/A</t>
        </is>
      </c>
      <c r="F113" s="5" t="n">
        <v>5</v>
      </c>
      <c r="G113" s="3" t="inlineStr">
        <is>
          <t>NO</t>
        </is>
      </c>
      <c r="H113" s="3" t="inlineStr">
        <is>
          <t>SKIP - NO WEBSITE</t>
        </is>
      </c>
      <c r="I113" s="15" t="n"/>
    </row>
    <row r="114" ht="15.75" customHeight="1" s="48">
      <c r="A114" s="3" t="inlineStr">
        <is>
          <t>Mission Terrace AC Repair</t>
        </is>
      </c>
      <c r="B114" s="3" t="inlineStr">
        <is>
          <t>San Francisco, CA</t>
        </is>
      </c>
      <c r="C114" s="3">
        <f>+1 415-742-2875</f>
        <v/>
      </c>
      <c r="D114" s="3" t="inlineStr">
        <is>
          <t>NOT FOUND</t>
        </is>
      </c>
      <c r="E114" s="3" t="inlineStr">
        <is>
          <t>N/A</t>
        </is>
      </c>
      <c r="F114" s="5" t="n">
        <v>5</v>
      </c>
      <c r="G114" s="3" t="inlineStr">
        <is>
          <t>NO</t>
        </is>
      </c>
      <c r="H114" s="3" t="inlineStr">
        <is>
          <t>SKIP - NO WEBSITE</t>
        </is>
      </c>
      <c r="I114" s="15" t="n"/>
    </row>
    <row r="115" ht="15.75" customHeight="1" s="48">
      <c r="A115" s="3" t="inlineStr">
        <is>
          <t>San Francisco Heating And Air Conditioning</t>
        </is>
      </c>
      <c r="B115" s="3" t="inlineStr">
        <is>
          <t>San Francisco, CA</t>
        </is>
      </c>
      <c r="C115" s="3">
        <f>+1 628-287-1383</f>
        <v/>
      </c>
      <c r="D115" s="3" t="inlineStr">
        <is>
          <t>NOT FOUND</t>
        </is>
      </c>
      <c r="E115" s="3" t="inlineStr">
        <is>
          <t>N/A</t>
        </is>
      </c>
      <c r="F115" s="5" t="n">
        <v>4</v>
      </c>
      <c r="G115" s="3" t="inlineStr">
        <is>
          <t>NO</t>
        </is>
      </c>
      <c r="H115" s="3" t="inlineStr">
        <is>
          <t>SKIP - NO WEBSITE</t>
        </is>
      </c>
      <c r="I115" s="15" t="n"/>
    </row>
    <row r="116" ht="15.75" customHeight="1" s="48">
      <c r="A116" s="3" t="inlineStr">
        <is>
          <t>One Hour Air Conditioning &amp; Heating® of Houston</t>
        </is>
      </c>
      <c r="B116" s="3" t="inlineStr">
        <is>
          <t>Houston, TX</t>
        </is>
      </c>
      <c r="C116" s="3">
        <f>+1 281-407-9754</f>
        <v/>
      </c>
      <c r="D116" s="4" t="inlineStr">
        <is>
          <t>https://www.onehourheatandair.com/houston/?utm_source=gbp&amp;utm_medium=organic&amp;utm_campaign=638799_-OH0248-</t>
        </is>
      </c>
      <c r="E116" s="5" t="n">
        <v>4.7</v>
      </c>
      <c r="F116" s="5" t="n">
        <v>9900</v>
      </c>
      <c r="G116" s="3" t="inlineStr">
        <is>
          <t>YES</t>
        </is>
      </c>
      <c r="H116" s="3" t="inlineStr">
        <is>
          <t>SKIP - FRANCHISE</t>
        </is>
      </c>
      <c r="I116" s="15" t="n"/>
    </row>
    <row r="117" ht="15.75" customHeight="1" s="48">
      <c r="A117" s="3" t="inlineStr">
        <is>
          <t>Aire Serv of Central &amp; West Houston</t>
        </is>
      </c>
      <c r="B117" s="3" t="inlineStr">
        <is>
          <t>Houston, TX</t>
        </is>
      </c>
      <c r="C117" s="3">
        <f>+1 832-432-7888</f>
        <v/>
      </c>
      <c r="D117" s="4" t="inlineStr">
        <is>
          <t>https://www.aireserv.com/schedule-service/?utm_source=gmb&amp;utm_medium=organic&amp;utm_campaign=google_reserve&amp;location=30026&amp;hl=en-ZA&amp;gei=tDaKaYj2HM-mhbIP54DAwAg&amp;rwg_token=AFd1xnESaj1QuzKh8Uwcn1wvLqaFE3_WuzhZl4pNAViUuc5pTUxUbAuDFXN3s4s1YFtc0u6U-mw8v2nW2fahrOnxrkiFhUXwPw%3D%3D&amp;source=cat</t>
        </is>
      </c>
      <c r="E117" s="5" t="n">
        <v>4.9</v>
      </c>
      <c r="F117" s="5" t="n">
        <v>193</v>
      </c>
      <c r="G117" s="3" t="inlineStr">
        <is>
          <t>YES</t>
        </is>
      </c>
      <c r="H117" s="3" t="inlineStr">
        <is>
          <t>SKIP - FRANCHISE</t>
        </is>
      </c>
      <c r="I117" s="15" t="n"/>
    </row>
    <row r="118" ht="15.75" customHeight="1" s="48">
      <c r="A118" s="3" t="inlineStr">
        <is>
          <t>NexGen HVAC &amp; Plumbing</t>
        </is>
      </c>
      <c r="B118" s="3" t="inlineStr">
        <is>
          <t>Pasadena, CA</t>
        </is>
      </c>
      <c r="C118" s="3">
        <f>+1 626-602-9437</f>
        <v/>
      </c>
      <c r="D118" s="4" t="inlineStr">
        <is>
          <t>https://nexgenairandplumbing.com/locations/arcadia/?utm_campaign=gmb-listing-arcadia&amp;utm_source=google&amp;utm_medium=organic</t>
        </is>
      </c>
      <c r="E118" s="5" t="n">
        <v>4.7</v>
      </c>
      <c r="F118" s="5" t="n">
        <v>538</v>
      </c>
      <c r="G118" s="3" t="inlineStr">
        <is>
          <t>YES</t>
        </is>
      </c>
      <c r="H118" s="3" t="inlineStr">
        <is>
          <t>SKIP - FRANCHISE</t>
        </is>
      </c>
      <c r="I118" s="15" t="n"/>
    </row>
    <row r="119" ht="15.75" customHeight="1" s="48">
      <c r="A119" s="3" t="inlineStr">
        <is>
          <t>Aire Serv of Pasadena</t>
        </is>
      </c>
      <c r="B119" s="3" t="inlineStr">
        <is>
          <t>Pasadena, CA</t>
        </is>
      </c>
      <c r="C119" s="3">
        <f>+1 626-389-8498</f>
        <v/>
      </c>
      <c r="D119" s="4" t="inlineStr">
        <is>
          <t>https://www.aireserv.com/pasadena/?cid=LSTL_ASV-US000187&amp;utm_source=gmb&amp;utm_campaign=local&amp;utm_medium=organic</t>
        </is>
      </c>
      <c r="E119" s="5" t="n">
        <v>4.9</v>
      </c>
      <c r="F119" s="5" t="n">
        <v>394</v>
      </c>
      <c r="G119" s="3" t="inlineStr">
        <is>
          <t>YES</t>
        </is>
      </c>
      <c r="H119" s="3" t="inlineStr">
        <is>
          <t>SKIP - FRANCHISE</t>
        </is>
      </c>
      <c r="I119" s="15" t="n"/>
    </row>
    <row r="120" ht="15.75" customHeight="1" s="48">
      <c r="A120" s="3" t="inlineStr">
        <is>
          <t>JAVCO Air Conditioning &amp; Heating</t>
        </is>
      </c>
      <c r="B120" s="3" t="inlineStr">
        <is>
          <t>Houston, TX</t>
        </is>
      </c>
      <c r="C120" s="3">
        <f>+1 832-731-6165</f>
        <v/>
      </c>
      <c r="D120" s="4" t="inlineStr">
        <is>
          <t>https://javcoac.com/</t>
        </is>
      </c>
      <c r="E120" s="3" t="inlineStr">
        <is>
          <t>N/A</t>
        </is>
      </c>
      <c r="F120" s="5" t="n">
        <v>5</v>
      </c>
      <c r="G120" s="3" t="inlineStr">
        <is>
          <t>NO</t>
        </is>
      </c>
      <c r="H120" s="3" t="inlineStr">
        <is>
          <t>SKIP</t>
        </is>
      </c>
      <c r="I120" s="15" t="n"/>
    </row>
    <row r="121" ht="15.75" customHeight="1" s="48">
      <c r="A121" s="3" t="inlineStr">
        <is>
          <t>Turbo AC Repair Houston</t>
        </is>
      </c>
      <c r="B121" s="3" t="inlineStr">
        <is>
          <t>Houston, TX</t>
        </is>
      </c>
      <c r="C121" s="3">
        <f>+1 281-241-7835</f>
        <v/>
      </c>
      <c r="D121" s="4" t="inlineStr">
        <is>
          <t>https://turbohomeservices.com/</t>
        </is>
      </c>
      <c r="E121" s="3" t="inlineStr">
        <is>
          <t>N/A</t>
        </is>
      </c>
      <c r="F121" s="5" t="n">
        <v>4</v>
      </c>
      <c r="G121" s="3" t="inlineStr">
        <is>
          <t>NO</t>
        </is>
      </c>
      <c r="H121" s="3" t="inlineStr">
        <is>
          <t>SKIP</t>
        </is>
      </c>
      <c r="I121" s="15" t="n"/>
    </row>
    <row r="122" ht="15.75" customHeight="1" s="48">
      <c r="A122" s="3" t="inlineStr">
        <is>
          <t>ASAP AIR A/C and Heating</t>
        </is>
      </c>
      <c r="B122" s="3" t="inlineStr">
        <is>
          <t>Houston, TX</t>
        </is>
      </c>
      <c r="C122" s="3">
        <f>+1 713-862-1775</f>
        <v/>
      </c>
      <c r="D122" s="4" t="inlineStr">
        <is>
          <t>https://www.asapairhoustonac.com/</t>
        </is>
      </c>
      <c r="E122" s="3" t="inlineStr">
        <is>
          <t>N/A</t>
        </is>
      </c>
      <c r="F122" s="5" t="n">
        <v>5</v>
      </c>
      <c r="G122" s="3" t="inlineStr">
        <is>
          <t>NO</t>
        </is>
      </c>
      <c r="H122" s="3" t="inlineStr">
        <is>
          <t>SKIP</t>
        </is>
      </c>
      <c r="I122" s="15" t="n"/>
    </row>
    <row r="123" ht="15.75" customHeight="1" s="48">
      <c r="A123" s="3" t="inlineStr">
        <is>
          <t>Bodensteiner Service Inc</t>
        </is>
      </c>
      <c r="B123" s="3" t="inlineStr">
        <is>
          <t>Houston, TX</t>
        </is>
      </c>
      <c r="C123" s="3">
        <f>+1 713-868-0050</f>
        <v/>
      </c>
      <c r="D123" s="4" t="inlineStr">
        <is>
          <t>https://www.bsiairhouston.com/</t>
        </is>
      </c>
      <c r="E123" s="3" t="inlineStr">
        <is>
          <t>N/A</t>
        </is>
      </c>
      <c r="F123" s="5" t="n">
        <v>5</v>
      </c>
      <c r="G123" s="3" t="inlineStr">
        <is>
          <t>NO</t>
        </is>
      </c>
      <c r="H123" s="3" t="inlineStr">
        <is>
          <t>SKIP</t>
        </is>
      </c>
      <c r="I123" s="15" t="n"/>
    </row>
    <row r="124" ht="15.75" customHeight="1" s="48">
      <c r="A124" s="3" t="inlineStr">
        <is>
          <t>Master AC and Heat, LLC- The Heights</t>
        </is>
      </c>
      <c r="B124" s="3" t="inlineStr">
        <is>
          <t>Houston, TX</t>
        </is>
      </c>
      <c r="C124" s="3">
        <f>+1 713-750-9769</f>
        <v/>
      </c>
      <c r="D124" s="4" t="inlineStr">
        <is>
          <t>http://masteracandheat.com/</t>
        </is>
      </c>
      <c r="E124" s="3" t="inlineStr">
        <is>
          <t>N/A</t>
        </is>
      </c>
      <c r="F124" s="5" t="n">
        <v>4</v>
      </c>
      <c r="G124" s="3" t="inlineStr">
        <is>
          <t>NO</t>
        </is>
      </c>
      <c r="H124" s="3" t="inlineStr">
        <is>
          <t>SKIP</t>
        </is>
      </c>
      <c r="I124" s="15" t="n"/>
    </row>
    <row r="125" ht="15.75" customHeight="1" s="48">
      <c r="A125" s="3" t="inlineStr">
        <is>
          <t>Vibrant Mechanical</t>
        </is>
      </c>
      <c r="B125" s="3" t="inlineStr">
        <is>
          <t>Houston, TX</t>
        </is>
      </c>
      <c r="C125" s="3">
        <f>+1 281-436-9758</f>
        <v/>
      </c>
      <c r="D125" s="4" t="inlineStr">
        <is>
          <t>https://vibrantmechanical.com/</t>
        </is>
      </c>
      <c r="E125" s="3" t="inlineStr">
        <is>
          <t>N/A</t>
        </is>
      </c>
      <c r="F125" s="5" t="n">
        <v>5</v>
      </c>
      <c r="G125" s="3" t="inlineStr">
        <is>
          <t>NO</t>
        </is>
      </c>
      <c r="H125" s="3" t="inlineStr">
        <is>
          <t>SKIP</t>
        </is>
      </c>
      <c r="I125" s="15" t="n"/>
    </row>
    <row r="126" ht="15.75" customHeight="1" s="48">
      <c r="A126" s="3" t="inlineStr">
        <is>
          <t>John Moore Services</t>
        </is>
      </c>
      <c r="B126" s="3" t="inlineStr">
        <is>
          <t>Houston, TX</t>
        </is>
      </c>
      <c r="C126" s="3">
        <f>+1 713-853-9885</f>
        <v/>
      </c>
      <c r="D126" s="4" t="inlineStr">
        <is>
          <t>http://www.johnmooreservices.com/</t>
        </is>
      </c>
      <c r="E126" s="3" t="inlineStr">
        <is>
          <t>N/A</t>
        </is>
      </c>
      <c r="F126" s="5" t="n">
        <v>4</v>
      </c>
      <c r="G126" s="3" t="inlineStr">
        <is>
          <t>NO</t>
        </is>
      </c>
      <c r="H126" s="3" t="inlineStr">
        <is>
          <t>SKIP</t>
        </is>
      </c>
      <c r="I126" s="15" t="n"/>
    </row>
    <row r="127" ht="15.75" customHeight="1" s="48">
      <c r="A127" s="3" t="inlineStr">
        <is>
          <t>Heights A/C &amp; Heating, LLC.</t>
        </is>
      </c>
      <c r="B127" s="3" t="inlineStr">
        <is>
          <t>Houston, TX</t>
        </is>
      </c>
      <c r="C127" s="3">
        <f>+1 832-729-0017</f>
        <v/>
      </c>
      <c r="D127" s="4" t="inlineStr">
        <is>
          <t>http://www.heightsacandheating.com/</t>
        </is>
      </c>
      <c r="E127" s="3" t="inlineStr">
        <is>
          <t>N/A</t>
        </is>
      </c>
      <c r="F127" s="5" t="n">
        <v>4</v>
      </c>
      <c r="G127" s="3" t="inlineStr">
        <is>
          <t>NO</t>
        </is>
      </c>
      <c r="H127" s="3" t="inlineStr">
        <is>
          <t>SKIP</t>
        </is>
      </c>
      <c r="I127" s="15" t="n"/>
    </row>
    <row r="128" ht="15.75" customHeight="1" s="48">
      <c r="A128" s="3" t="inlineStr">
        <is>
          <t>Ethan Clark Air Conditioning</t>
        </is>
      </c>
      <c r="B128" s="3" t="inlineStr">
        <is>
          <t>Houston, TX</t>
        </is>
      </c>
      <c r="C128" s="3">
        <f>+1 713-236-1119</f>
        <v/>
      </c>
      <c r="D128" s="4" t="inlineStr">
        <is>
          <t>http://www.ethanclark.com/</t>
        </is>
      </c>
      <c r="E128" s="3" t="inlineStr">
        <is>
          <t>N/A</t>
        </is>
      </c>
      <c r="F128" s="5" t="n">
        <v>5</v>
      </c>
      <c r="G128" s="3" t="inlineStr">
        <is>
          <t>NO</t>
        </is>
      </c>
      <c r="H128" s="3" t="inlineStr">
        <is>
          <t>SKIP</t>
        </is>
      </c>
      <c r="I128" s="15" t="n"/>
    </row>
    <row r="129" ht="15.75" customHeight="1" s="48">
      <c r="A129" s="3" t="inlineStr">
        <is>
          <t>Bayou City Aire, LLC</t>
        </is>
      </c>
      <c r="B129" s="3" t="inlineStr">
        <is>
          <t>Houston, TX</t>
        </is>
      </c>
      <c r="C129" s="3">
        <f>+1 713-568-9437</f>
        <v/>
      </c>
      <c r="D129" s="4" t="inlineStr">
        <is>
          <t>http://www.bayoucityac.com/</t>
        </is>
      </c>
      <c r="E129" s="3" t="inlineStr">
        <is>
          <t>N/A</t>
        </is>
      </c>
      <c r="F129" s="5" t="n">
        <v>4</v>
      </c>
      <c r="G129" s="3" t="inlineStr">
        <is>
          <t>NO</t>
        </is>
      </c>
      <c r="H129" s="3" t="inlineStr">
        <is>
          <t>SKIP</t>
        </is>
      </c>
      <c r="I129" s="15" t="n"/>
    </row>
    <row r="130" ht="15.75" customHeight="1" s="48">
      <c r="A130" s="3" t="inlineStr">
        <is>
          <t>AIRTEAM Heating &amp; Cooling</t>
        </is>
      </c>
      <c r="B130" s="3" t="inlineStr">
        <is>
          <t>Houston, TX</t>
        </is>
      </c>
      <c r="C130" s="3">
        <f>+1 713-936-5346</f>
        <v/>
      </c>
      <c r="D130" s="4" t="inlineStr">
        <is>
          <t>http://www.airteamltd.com/</t>
        </is>
      </c>
      <c r="E130" s="3" t="inlineStr">
        <is>
          <t>N/A</t>
        </is>
      </c>
      <c r="F130" s="5" t="n">
        <v>4</v>
      </c>
      <c r="G130" s="3" t="inlineStr">
        <is>
          <t>NO</t>
        </is>
      </c>
      <c r="H130" s="3" t="inlineStr">
        <is>
          <t>SKIP</t>
        </is>
      </c>
      <c r="I130" s="15" t="n"/>
    </row>
    <row r="131" ht="15.75" customHeight="1" s="48">
      <c r="A131" s="3" t="inlineStr">
        <is>
          <t>Central City Air</t>
        </is>
      </c>
      <c r="B131" s="3" t="inlineStr">
        <is>
          <t>Houston, TX</t>
        </is>
      </c>
      <c r="C131" s="3">
        <f>+1 713-861-1977</f>
        <v/>
      </c>
      <c r="D131" s="4" t="inlineStr">
        <is>
          <t>https://centralcityair.com/</t>
        </is>
      </c>
      <c r="E131" s="3" t="inlineStr">
        <is>
          <t>N/A</t>
        </is>
      </c>
      <c r="F131" s="5" t="n">
        <v>4</v>
      </c>
      <c r="G131" s="3" t="inlineStr">
        <is>
          <t>NO</t>
        </is>
      </c>
      <c r="H131" s="3" t="inlineStr">
        <is>
          <t>SKIP</t>
        </is>
      </c>
      <c r="I131" s="15" t="n"/>
    </row>
    <row r="132" ht="15.75" customHeight="1" s="48">
      <c r="A132" s="3" t="inlineStr">
        <is>
          <t>Legacy AC &amp; Heating</t>
        </is>
      </c>
      <c r="B132" s="3" t="inlineStr">
        <is>
          <t>Houston, TX</t>
        </is>
      </c>
      <c r="C132" s="3">
        <f>+1 832-977-2692</f>
        <v/>
      </c>
      <c r="D132" s="4" t="inlineStr">
        <is>
          <t>https://www.legacyacandheating.com/</t>
        </is>
      </c>
      <c r="E132" s="3" t="inlineStr">
        <is>
          <t>N/A</t>
        </is>
      </c>
      <c r="F132" s="5" t="n">
        <v>5</v>
      </c>
      <c r="G132" s="3" t="inlineStr">
        <is>
          <t>NO</t>
        </is>
      </c>
      <c r="H132" s="3" t="inlineStr">
        <is>
          <t>SKIP</t>
        </is>
      </c>
      <c r="I132" s="15" t="n"/>
    </row>
    <row r="133" ht="15.75" customHeight="1" s="48">
      <c r="A133" s="3" t="inlineStr">
        <is>
          <t>My Kelly's AC</t>
        </is>
      </c>
      <c r="B133" s="3" t="inlineStr">
        <is>
          <t>Houston, TX</t>
        </is>
      </c>
      <c r="C133" s="3">
        <f>+1 281-909-7002</f>
        <v/>
      </c>
      <c r="D133" s="4" t="inlineStr">
        <is>
          <t>https://www.mykellysac.com/?utm_source=cumulus&amp;utm_medium=onlinepresence&amp;utm_campaign=gbp</t>
        </is>
      </c>
      <c r="E133" s="3" t="inlineStr">
        <is>
          <t>N/A</t>
        </is>
      </c>
      <c r="F133" s="5" t="n">
        <v>5</v>
      </c>
      <c r="G133" s="3" t="inlineStr">
        <is>
          <t>NO</t>
        </is>
      </c>
      <c r="H133" s="3" t="inlineStr">
        <is>
          <t>SKIP</t>
        </is>
      </c>
      <c r="I133" s="15" t="n"/>
    </row>
    <row r="134" ht="15.75" customHeight="1" s="48">
      <c r="A134" s="3" t="inlineStr">
        <is>
          <t>Revolution Air</t>
        </is>
      </c>
      <c r="B134" s="3" t="inlineStr">
        <is>
          <t>Houston, TX</t>
        </is>
      </c>
      <c r="C134" s="3">
        <f>+1 713-213-4966</f>
        <v/>
      </c>
      <c r="D134" s="4" t="inlineStr">
        <is>
          <t>http://www.revairtx.com/</t>
        </is>
      </c>
      <c r="E134" s="3" t="inlineStr">
        <is>
          <t>N/A</t>
        </is>
      </c>
      <c r="F134" s="5" t="n">
        <v>4</v>
      </c>
      <c r="G134" s="3" t="inlineStr">
        <is>
          <t>NO</t>
        </is>
      </c>
      <c r="H134" s="3" t="inlineStr">
        <is>
          <t>SKIP</t>
        </is>
      </c>
      <c r="I134" s="15" t="n"/>
    </row>
    <row r="135" ht="15.75" customHeight="1" s="48">
      <c r="A135" s="3" t="inlineStr">
        <is>
          <t>Total HVAC Houston</t>
        </is>
      </c>
      <c r="B135" s="3" t="inlineStr">
        <is>
          <t>Houston, TX</t>
        </is>
      </c>
      <c r="C135" s="3">
        <f>+1 281-749-1195</f>
        <v/>
      </c>
      <c r="D135" s="4" t="inlineStr">
        <is>
          <t>https://greaterhoustonhvac.com/</t>
        </is>
      </c>
      <c r="E135" s="3" t="inlineStr">
        <is>
          <t>N/A</t>
        </is>
      </c>
      <c r="F135" s="5" t="n">
        <v>5</v>
      </c>
      <c r="G135" s="3" t="inlineStr">
        <is>
          <t>NO</t>
        </is>
      </c>
      <c r="H135" s="3" t="inlineStr">
        <is>
          <t>SKIP</t>
        </is>
      </c>
      <c r="I135" s="15" t="n"/>
    </row>
    <row r="136" ht="15.75" customHeight="1" s="48">
      <c r="A136" s="3" t="inlineStr">
        <is>
          <t>Luke's Plumbing &amp; Air Conditioning</t>
        </is>
      </c>
      <c r="B136" s="3" t="inlineStr">
        <is>
          <t>Houston, TX</t>
        </is>
      </c>
      <c r="C136" s="3">
        <f>+1 713-766-4887</f>
        <v/>
      </c>
      <c r="D136" s="4" t="inlineStr">
        <is>
          <t>https://calllukes.com/?utm_source=google&amp;utm_medium=gbp</t>
        </is>
      </c>
      <c r="E136" s="3" t="inlineStr">
        <is>
          <t>N/A</t>
        </is>
      </c>
      <c r="F136" s="5" t="n">
        <v>4</v>
      </c>
      <c r="G136" s="3" t="inlineStr">
        <is>
          <t>NO</t>
        </is>
      </c>
      <c r="H136" s="3" t="inlineStr">
        <is>
          <t>SKIP</t>
        </is>
      </c>
      <c r="I136" s="15" t="n"/>
    </row>
    <row r="137" ht="15.75" customHeight="1" s="48">
      <c r="A137" s="3" t="inlineStr">
        <is>
          <t>Air Innovations LLC</t>
        </is>
      </c>
      <c r="B137" s="3" t="inlineStr">
        <is>
          <t>Houston, TX</t>
        </is>
      </c>
      <c r="C137" s="3">
        <f>+1 281-830-2412</f>
        <v/>
      </c>
      <c r="D137" s="4" t="inlineStr">
        <is>
          <t>https://www.airinnovationsllc.com/</t>
        </is>
      </c>
      <c r="E137" s="3" t="inlineStr">
        <is>
          <t>N/A</t>
        </is>
      </c>
      <c r="F137" s="5" t="n">
        <v>4</v>
      </c>
      <c r="G137" s="3" t="inlineStr">
        <is>
          <t>NO</t>
        </is>
      </c>
      <c r="H137" s="3" t="inlineStr">
        <is>
          <t>SKIP</t>
        </is>
      </c>
      <c r="I137" s="15" t="n"/>
    </row>
    <row r="138" ht="15.75" customHeight="1" s="48">
      <c r="A138" s="3" t="inlineStr">
        <is>
          <t>Houston HVAC</t>
        </is>
      </c>
      <c r="B138" s="3" t="inlineStr">
        <is>
          <t>Houston, TX</t>
        </is>
      </c>
      <c r="C138" s="3">
        <f>+1 346-772-7120</f>
        <v/>
      </c>
      <c r="D138" s="4" t="inlineStr">
        <is>
          <t>http://www.callhoustonhvac.com/</t>
        </is>
      </c>
      <c r="E138" s="3" t="inlineStr">
        <is>
          <t>N/A</t>
        </is>
      </c>
      <c r="F138" s="5" t="n">
        <v>4</v>
      </c>
      <c r="G138" s="3" t="inlineStr">
        <is>
          <t>NO</t>
        </is>
      </c>
      <c r="H138" s="3" t="inlineStr">
        <is>
          <t>SKIP</t>
        </is>
      </c>
      <c r="I138" s="15" t="n"/>
    </row>
    <row r="139" ht="15.75" customHeight="1" s="48">
      <c r="A139" s="3" t="inlineStr">
        <is>
          <t>HVAC Repair Champions</t>
        </is>
      </c>
      <c r="B139" s="3" t="inlineStr">
        <is>
          <t>Houston, TX</t>
        </is>
      </c>
      <c r="C139" s="3">
        <f>+1 713-885-9043</f>
        <v/>
      </c>
      <c r="D139" s="4" t="inlineStr">
        <is>
          <t>https://usmapid.org/details/hvac-repair-champions-ChIJKZN</t>
        </is>
      </c>
      <c r="E139" s="3" t="inlineStr">
        <is>
          <t>N/A</t>
        </is>
      </c>
      <c r="F139" s="5" t="n">
        <v>5</v>
      </c>
      <c r="G139" s="3" t="inlineStr">
        <is>
          <t>NO</t>
        </is>
      </c>
      <c r="H139" s="3" t="inlineStr">
        <is>
          <t>SKIP</t>
        </is>
      </c>
      <c r="I139" s="15" t="n"/>
    </row>
    <row r="140" ht="15.75" customHeight="1" s="48">
      <c r="A140" s="3" t="inlineStr">
        <is>
          <t>Same Day Air Conditioning &amp; Heating</t>
        </is>
      </c>
      <c r="B140" s="3" t="inlineStr">
        <is>
          <t>San Francisco, CA</t>
        </is>
      </c>
      <c r="C140" s="3">
        <f>+1 510-887-5571</f>
        <v/>
      </c>
      <c r="D140" s="4" t="inlineStr">
        <is>
          <t>https://samedayhvachayward.com/</t>
        </is>
      </c>
      <c r="E140" s="3" t="inlineStr">
        <is>
          <t>N/A</t>
        </is>
      </c>
      <c r="F140" s="5" t="n">
        <v>4</v>
      </c>
      <c r="G140" s="3" t="inlineStr">
        <is>
          <t>NO</t>
        </is>
      </c>
      <c r="H140" s="3" t="inlineStr">
        <is>
          <t>SKIP</t>
        </is>
      </c>
      <c r="I140" s="15" t="n"/>
    </row>
    <row r="141" ht="15.75" customHeight="1" s="48">
      <c r="A141" s="3" t="inlineStr">
        <is>
          <t>Schmitt Heating &amp; Air Conditioning</t>
        </is>
      </c>
      <c r="B141" s="3" t="inlineStr">
        <is>
          <t>San Francisco, CA</t>
        </is>
      </c>
      <c r="C141" s="3">
        <f>+1 415-522-0966</f>
        <v/>
      </c>
      <c r="D141" s="4" t="inlineStr">
        <is>
          <t>https://www.schmittheating.com/</t>
        </is>
      </c>
      <c r="E141" s="3" t="inlineStr">
        <is>
          <t>N/A</t>
        </is>
      </c>
      <c r="F141" s="5" t="n">
        <v>4</v>
      </c>
      <c r="G141" s="3" t="inlineStr">
        <is>
          <t>NO</t>
        </is>
      </c>
      <c r="H141" s="3" t="inlineStr">
        <is>
          <t>SKIP</t>
        </is>
      </c>
      <c r="I141" s="15" t="n"/>
    </row>
    <row r="142" ht="15.75" customHeight="1" s="48">
      <c r="A142" s="3" t="inlineStr">
        <is>
          <t>Galaxy Heating &amp; Air Conditioning</t>
        </is>
      </c>
      <c r="B142" s="3" t="inlineStr">
        <is>
          <t>San Francisco, CA</t>
        </is>
      </c>
      <c r="C142" s="3">
        <f>+1 415-918-6892</f>
        <v/>
      </c>
      <c r="D142" s="4" t="inlineStr">
        <is>
          <t>https://galaxyservices.com/</t>
        </is>
      </c>
      <c r="E142" s="3" t="inlineStr">
        <is>
          <t>N/A</t>
        </is>
      </c>
      <c r="F142" s="5" t="n">
        <v>4</v>
      </c>
      <c r="G142" s="3" t="inlineStr">
        <is>
          <t>NO</t>
        </is>
      </c>
      <c r="H142" s="3" t="inlineStr">
        <is>
          <t>SKIP</t>
        </is>
      </c>
      <c r="I142" s="15" t="n"/>
    </row>
    <row r="143" ht="15.75" customHeight="1" s="48">
      <c r="A143" s="3" t="inlineStr">
        <is>
          <t>Atlas Heating "The Original Since 1908" (Atlas Trillo is NOT us, please don't be confused)</t>
        </is>
      </c>
      <c r="B143" s="3" t="inlineStr">
        <is>
          <t>San Francisco, CA</t>
        </is>
      </c>
      <c r="C143" s="3">
        <f>+1 650-873-7000</f>
        <v/>
      </c>
      <c r="D143" s="4" t="inlineStr">
        <is>
          <t>http://atlasheat.com/</t>
        </is>
      </c>
      <c r="E143" s="3" t="inlineStr">
        <is>
          <t>N/A</t>
        </is>
      </c>
      <c r="F143" s="5" t="n">
        <v>4</v>
      </c>
      <c r="G143" s="3" t="inlineStr">
        <is>
          <t>NO</t>
        </is>
      </c>
      <c r="H143" s="3" t="inlineStr">
        <is>
          <t>SKIP</t>
        </is>
      </c>
      <c r="I143" s="15" t="n"/>
    </row>
    <row r="144" ht="15.75" customHeight="1" s="48">
      <c r="A144" s="3" t="inlineStr">
        <is>
          <t>Fuse HVAC &amp; Electrical Services Burlingame</t>
        </is>
      </c>
      <c r="B144" s="3" t="inlineStr">
        <is>
          <t>San Francisco, CA</t>
        </is>
      </c>
      <c r="C144" s="3">
        <f>+1 510-990-9889</f>
        <v/>
      </c>
      <c r="D144" s="4" t="inlineStr">
        <is>
          <t>https://fuserepairsf.com/</t>
        </is>
      </c>
      <c r="E144" s="3" t="inlineStr">
        <is>
          <t>N/A</t>
        </is>
      </c>
      <c r="F144" s="5" t="n">
        <v>5</v>
      </c>
      <c r="G144" s="3" t="inlineStr">
        <is>
          <t>NO</t>
        </is>
      </c>
      <c r="H144" s="3" t="inlineStr">
        <is>
          <t>SKIP</t>
        </is>
      </c>
      <c r="I144" s="15" t="n"/>
    </row>
    <row r="145" ht="15.75" customHeight="1" s="48">
      <c r="A145" s="3" t="inlineStr">
        <is>
          <t>HVAC Expert Inc Twin Peaks</t>
        </is>
      </c>
      <c r="B145" s="3" t="inlineStr">
        <is>
          <t>San Francisco, CA</t>
        </is>
      </c>
      <c r="C145" s="3">
        <f>+1 415-570-6422</f>
        <v/>
      </c>
      <c r="D145" s="4" t="inlineStr">
        <is>
          <t>http://hvac-expert-inc.com/twin-peaks/</t>
        </is>
      </c>
      <c r="E145" s="3" t="inlineStr">
        <is>
          <t>N/A</t>
        </is>
      </c>
      <c r="F145" s="5" t="n">
        <v>5</v>
      </c>
      <c r="G145" s="3" t="inlineStr">
        <is>
          <t>NO</t>
        </is>
      </c>
      <c r="H145" s="3" t="inlineStr">
        <is>
          <t>SKIP</t>
        </is>
      </c>
      <c r="I145" s="15" t="n"/>
    </row>
    <row r="146" ht="15.75" customHeight="1" s="48">
      <c r="A146" s="1" t="inlineStr">
        <is>
          <t>Jawco Tools</t>
        </is>
      </c>
      <c r="B146" s="1" t="inlineStr">
        <is>
          <t>Wernervill, PA</t>
        </is>
      </c>
      <c r="C146" s="1">
        <f>1 610 376 2019</f>
        <v/>
      </c>
      <c r="D146" s="2" t="inlineStr">
        <is>
          <t>https://jawco.com</t>
        </is>
      </c>
      <c r="E146" s="1" t="n">
        <v>3.7</v>
      </c>
      <c r="F146" s="1" t="n">
        <v>3</v>
      </c>
      <c r="G146" s="1" t="inlineStr">
        <is>
          <t>Yes</t>
        </is>
      </c>
      <c r="H146" s="1" t="inlineStr">
        <is>
          <t>TIER 1 - HOT</t>
        </is>
      </c>
      <c r="I146" s="1" t="inlineStr">
        <is>
          <t>They have a horrible ecommerce website, and are in the contracting niche as they sell to people who need tooling supplies, 
Cons:
They have a horrible text driven website. 
It looses trust with customers instantly when they want to buy any of their tools,
They look like they could make use with a headless site.
Now the only pro: They have a website and internet pressence.</t>
        </is>
      </c>
    </row>
    <row r="147" ht="15.75" customHeight="1" s="48">
      <c r="A147" s="15" t="n"/>
      <c r="B147" s="15" t="n"/>
      <c r="C147" s="15" t="n"/>
      <c r="D147" s="15" t="n"/>
      <c r="E147" s="15" t="n"/>
      <c r="F147" s="15" t="n"/>
      <c r="G147" s="15" t="n"/>
      <c r="H147" s="15" t="n"/>
      <c r="I147" s="15" t="n"/>
    </row>
    <row r="148" ht="15.75" customHeight="1" s="48">
      <c r="A148" s="15" t="n"/>
      <c r="B148" s="15" t="n"/>
      <c r="C148" s="15" t="n"/>
      <c r="D148" s="15" t="n"/>
      <c r="E148" s="15" t="n"/>
      <c r="F148" s="15" t="n"/>
      <c r="G148" s="15" t="n"/>
      <c r="H148" s="15" t="n"/>
      <c r="I148" s="15" t="n"/>
    </row>
    <row r="149" ht="15.75" customHeight="1" s="48">
      <c r="A149" s="15" t="n"/>
      <c r="B149" s="15" t="n"/>
      <c r="C149" s="15" t="n"/>
      <c r="D149" s="15" t="n"/>
      <c r="E149" s="15" t="n"/>
      <c r="F149" s="15" t="n"/>
      <c r="G149" s="15" t="n"/>
      <c r="H149" s="15" t="n"/>
      <c r="I149" s="15" t="n"/>
    </row>
    <row r="150" ht="15.75" customHeight="1" s="48">
      <c r="A150" s="15" t="n"/>
      <c r="B150" s="15" t="n"/>
      <c r="C150" s="15" t="n"/>
      <c r="D150" s="15" t="n"/>
      <c r="E150" s="15" t="n"/>
      <c r="F150" s="15" t="n"/>
      <c r="G150" s="15" t="n"/>
      <c r="H150" s="15" t="n"/>
      <c r="I150" s="15" t="n"/>
    </row>
    <row r="151" ht="15.75" customHeight="1" s="48">
      <c r="A151" s="15" t="n"/>
      <c r="B151" s="15" t="n"/>
      <c r="C151" s="15" t="n"/>
      <c r="D151" s="15" t="n"/>
      <c r="E151" s="15" t="n"/>
      <c r="F151" s="15" t="n"/>
      <c r="G151" s="15" t="n"/>
      <c r="H151" s="15" t="n"/>
      <c r="I151" s="15" t="n"/>
    </row>
    <row r="152" ht="15.75" customHeight="1" s="48">
      <c r="A152" s="15" t="n"/>
      <c r="B152" s="15" t="n"/>
      <c r="C152" s="15" t="n"/>
      <c r="D152" s="15" t="n"/>
      <c r="E152" s="15" t="n"/>
      <c r="F152" s="15" t="n"/>
      <c r="G152" s="15" t="n"/>
      <c r="H152" s="15" t="n"/>
      <c r="I152" s="15" t="n"/>
    </row>
    <row r="153" ht="15.75" customHeight="1" s="48">
      <c r="A153" s="15" t="n"/>
      <c r="B153" s="15" t="n"/>
      <c r="C153" s="15" t="n"/>
      <c r="D153" s="15" t="n"/>
      <c r="E153" s="15" t="n"/>
      <c r="F153" s="15" t="n"/>
      <c r="G153" s="15" t="n"/>
      <c r="H153" s="15" t="n"/>
      <c r="I153" s="15" t="n"/>
    </row>
    <row r="154" ht="15.75" customHeight="1" s="48">
      <c r="A154" s="15" t="n"/>
      <c r="B154" s="15" t="n"/>
      <c r="C154" s="15" t="n"/>
      <c r="D154" s="15" t="n"/>
      <c r="E154" s="15" t="n"/>
      <c r="F154" s="15" t="n"/>
      <c r="G154" s="15" t="n"/>
      <c r="H154" s="15" t="n"/>
      <c r="I154" s="15" t="n"/>
    </row>
    <row r="155" ht="15.75" customHeight="1" s="48">
      <c r="A155" s="15" t="n"/>
      <c r="B155" s="15" t="n"/>
      <c r="C155" s="15" t="n"/>
      <c r="D155" s="15" t="n"/>
      <c r="E155" s="15" t="n"/>
      <c r="F155" s="15" t="n"/>
      <c r="G155" s="15" t="n"/>
      <c r="H155" s="15" t="n"/>
      <c r="I155" s="15" t="n"/>
    </row>
    <row r="156" ht="15.75" customHeight="1" s="48">
      <c r="A156" s="15" t="n"/>
      <c r="B156" s="15" t="n"/>
      <c r="C156" s="15" t="n"/>
      <c r="D156" s="15" t="n"/>
      <c r="E156" s="15" t="n"/>
      <c r="F156" s="15" t="n"/>
      <c r="G156" s="15" t="n"/>
      <c r="H156" s="15" t="n"/>
      <c r="I156" s="15" t="n"/>
    </row>
    <row r="157" ht="15.75" customHeight="1" s="48">
      <c r="A157" s="15" t="n"/>
      <c r="B157" s="15" t="n"/>
      <c r="C157" s="15" t="n"/>
      <c r="D157" s="15" t="n"/>
      <c r="E157" s="15" t="n"/>
      <c r="F157" s="15" t="n"/>
      <c r="G157" s="15" t="n"/>
      <c r="H157" s="15" t="n"/>
      <c r="I157" s="15" t="n"/>
    </row>
    <row r="158" ht="15.75" customHeight="1" s="48">
      <c r="A158" s="15" t="n"/>
      <c r="B158" s="15" t="n"/>
      <c r="C158" s="15" t="n"/>
      <c r="D158" s="15" t="n"/>
      <c r="E158" s="15" t="n"/>
      <c r="F158" s="15" t="n"/>
      <c r="G158" s="15" t="n"/>
      <c r="H158" s="15" t="n"/>
      <c r="I158" s="15" t="n"/>
    </row>
    <row r="159" ht="15.75" customHeight="1" s="48">
      <c r="A159" s="15" t="n"/>
      <c r="B159" s="15" t="n"/>
      <c r="C159" s="15" t="n"/>
      <c r="D159" s="15" t="n"/>
      <c r="E159" s="15" t="n"/>
      <c r="F159" s="15" t="n"/>
      <c r="G159" s="15" t="n"/>
      <c r="H159" s="15" t="n"/>
      <c r="I159" s="15" t="n"/>
    </row>
    <row r="160" ht="15.75" customHeight="1" s="48">
      <c r="A160" s="15" t="n"/>
      <c r="B160" s="15" t="n"/>
      <c r="C160" s="15" t="n"/>
      <c r="D160" s="15" t="n"/>
      <c r="E160" s="15" t="n"/>
      <c r="F160" s="15" t="n"/>
      <c r="G160" s="15" t="n"/>
      <c r="H160" s="15" t="n"/>
      <c r="I160" s="15" t="n"/>
    </row>
    <row r="161" ht="15.75" customHeight="1" s="48">
      <c r="A161" s="15" t="n"/>
      <c r="B161" s="15" t="n"/>
      <c r="C161" s="15" t="n"/>
      <c r="D161" s="15" t="n"/>
      <c r="E161" s="15" t="n"/>
      <c r="F161" s="15" t="n"/>
      <c r="G161" s="15" t="n"/>
      <c r="H161" s="15" t="n"/>
      <c r="I161" s="15" t="n"/>
    </row>
    <row r="162" ht="15.75" customHeight="1" s="48">
      <c r="A162" s="15" t="n"/>
      <c r="B162" s="15" t="n"/>
      <c r="C162" s="15" t="n"/>
      <c r="D162" s="15" t="n"/>
      <c r="E162" s="15" t="n"/>
      <c r="F162" s="15" t="n"/>
      <c r="G162" s="15" t="n"/>
      <c r="H162" s="15" t="n"/>
      <c r="I162" s="15" t="n"/>
    </row>
    <row r="163" ht="15.75" customHeight="1" s="48">
      <c r="A163" s="15" t="n"/>
      <c r="B163" s="15" t="n"/>
      <c r="C163" s="15" t="n"/>
      <c r="D163" s="15" t="n"/>
      <c r="E163" s="15" t="n"/>
      <c r="F163" s="15" t="n"/>
      <c r="G163" s="15" t="n"/>
      <c r="H163" s="15" t="n"/>
      <c r="I163" s="15" t="n"/>
    </row>
    <row r="164" ht="15.75" customHeight="1" s="48">
      <c r="A164" s="15" t="n"/>
      <c r="B164" s="15" t="n"/>
      <c r="C164" s="15" t="n"/>
      <c r="D164" s="15" t="n"/>
      <c r="E164" s="15" t="n"/>
      <c r="F164" s="15" t="n"/>
      <c r="G164" s="15" t="n"/>
      <c r="H164" s="15" t="n"/>
      <c r="I164" s="15" t="n"/>
    </row>
    <row r="165" ht="15.75" customHeight="1" s="48">
      <c r="A165" s="15" t="n"/>
      <c r="B165" s="15" t="n"/>
      <c r="C165" s="15" t="n"/>
      <c r="D165" s="15" t="n"/>
      <c r="E165" s="15" t="n"/>
      <c r="F165" s="15" t="n"/>
      <c r="G165" s="15" t="n"/>
      <c r="H165" s="15" t="n"/>
      <c r="I165" s="15" t="n"/>
    </row>
    <row r="166" ht="15.75" customHeight="1" s="48">
      <c r="A166" s="15" t="n"/>
      <c r="B166" s="15" t="n"/>
      <c r="C166" s="15" t="n"/>
      <c r="D166" s="15" t="n"/>
      <c r="E166" s="15" t="n"/>
      <c r="F166" s="15" t="n"/>
      <c r="G166" s="15" t="n"/>
      <c r="H166" s="15" t="n"/>
      <c r="I166" s="15" t="n"/>
    </row>
    <row r="167" ht="15.75" customHeight="1" s="48">
      <c r="A167" s="15" t="n"/>
      <c r="B167" s="15" t="n"/>
      <c r="C167" s="15" t="n"/>
      <c r="D167" s="15" t="n"/>
      <c r="E167" s="15" t="n"/>
      <c r="F167" s="15" t="n"/>
      <c r="G167" s="15" t="n"/>
      <c r="H167" s="15" t="n"/>
      <c r="I167" s="15" t="n"/>
    </row>
    <row r="168" ht="15.75" customHeight="1" s="48">
      <c r="A168" s="15" t="n"/>
      <c r="B168" s="15" t="n"/>
      <c r="C168" s="15" t="n"/>
      <c r="D168" s="15" t="n"/>
      <c r="E168" s="15" t="n"/>
      <c r="F168" s="15" t="n"/>
      <c r="G168" s="15" t="n"/>
      <c r="H168" s="15" t="n"/>
      <c r="I168" s="15" t="n"/>
    </row>
    <row r="169" ht="15.75" customHeight="1" s="48">
      <c r="A169" s="15" t="n"/>
      <c r="B169" s="15" t="n"/>
      <c r="C169" s="15" t="n"/>
      <c r="D169" s="15" t="n"/>
      <c r="E169" s="15" t="n"/>
      <c r="F169" s="15" t="n"/>
      <c r="G169" s="15" t="n"/>
      <c r="H169" s="15" t="n"/>
      <c r="I169" s="15" t="n"/>
    </row>
    <row r="170" ht="15.75" customHeight="1" s="48">
      <c r="A170" s="15" t="n"/>
      <c r="B170" s="15" t="n"/>
      <c r="C170" s="15" t="n"/>
      <c r="D170" s="15" t="n"/>
      <c r="E170" s="15" t="n"/>
      <c r="F170" s="15" t="n"/>
      <c r="G170" s="15" t="n"/>
      <c r="H170" s="15" t="n"/>
      <c r="I170" s="15" t="n"/>
    </row>
    <row r="171" ht="15.75" customHeight="1" s="48">
      <c r="A171" s="15" t="n"/>
      <c r="B171" s="15" t="n"/>
      <c r="C171" s="15" t="n"/>
      <c r="D171" s="15" t="n"/>
      <c r="E171" s="15" t="n"/>
      <c r="F171" s="15" t="n"/>
      <c r="G171" s="15" t="n"/>
      <c r="H171" s="15" t="n"/>
      <c r="I171" s="15" t="n"/>
    </row>
    <row r="172" ht="15.75" customHeight="1" s="48">
      <c r="A172" s="15" t="n"/>
      <c r="B172" s="15" t="n"/>
      <c r="C172" s="15" t="n"/>
      <c r="D172" s="15" t="n"/>
      <c r="E172" s="15" t="n"/>
      <c r="F172" s="15" t="n"/>
      <c r="G172" s="15" t="n"/>
      <c r="H172" s="15" t="n"/>
      <c r="I172" s="15" t="n"/>
    </row>
    <row r="173" ht="15.75" customHeight="1" s="48">
      <c r="A173" s="15" t="n"/>
      <c r="B173" s="15" t="n"/>
      <c r="C173" s="15" t="n"/>
      <c r="D173" s="15" t="n"/>
      <c r="E173" s="15" t="n"/>
      <c r="F173" s="15" t="n"/>
      <c r="G173" s="15" t="n"/>
      <c r="H173" s="15" t="n"/>
      <c r="I173" s="15" t="n"/>
    </row>
    <row r="174" ht="15.75" customHeight="1" s="48">
      <c r="A174" s="15" t="n"/>
      <c r="B174" s="15" t="n"/>
      <c r="C174" s="15" t="n"/>
      <c r="D174" s="15" t="n"/>
      <c r="E174" s="15" t="n"/>
      <c r="F174" s="15" t="n"/>
      <c r="G174" s="15" t="n"/>
      <c r="H174" s="15" t="n"/>
      <c r="I174" s="15" t="n"/>
    </row>
    <row r="175" ht="15.75" customHeight="1" s="48">
      <c r="A175" s="15" t="n"/>
      <c r="B175" s="15" t="n"/>
      <c r="C175" s="15" t="n"/>
      <c r="D175" s="15" t="n"/>
      <c r="E175" s="15" t="n"/>
      <c r="F175" s="15" t="n"/>
      <c r="G175" s="15" t="n"/>
      <c r="H175" s="15" t="n"/>
      <c r="I175" s="15" t="n"/>
    </row>
    <row r="176" ht="15.75" customHeight="1" s="48">
      <c r="A176" s="15" t="n"/>
      <c r="B176" s="15" t="n"/>
      <c r="C176" s="15" t="n"/>
      <c r="D176" s="15" t="n"/>
      <c r="E176" s="15" t="n"/>
      <c r="F176" s="15" t="n"/>
      <c r="G176" s="15" t="n"/>
      <c r="H176" s="15" t="n"/>
      <c r="I176" s="15" t="n"/>
    </row>
    <row r="177" ht="15.75" customHeight="1" s="48">
      <c r="A177" s="15" t="n"/>
      <c r="B177" s="15" t="n"/>
      <c r="C177" s="15" t="n"/>
      <c r="D177" s="15" t="n"/>
      <c r="E177" s="15" t="n"/>
      <c r="F177" s="15" t="n"/>
      <c r="G177" s="15" t="n"/>
      <c r="H177" s="15" t="n"/>
      <c r="I177" s="15" t="n"/>
    </row>
    <row r="178" ht="15.75" customHeight="1" s="48">
      <c r="A178" s="15" t="n"/>
      <c r="B178" s="15" t="n"/>
      <c r="C178" s="15" t="n"/>
      <c r="D178" s="15" t="n"/>
      <c r="E178" s="15" t="n"/>
      <c r="F178" s="15" t="n"/>
      <c r="G178" s="15" t="n"/>
      <c r="H178" s="15" t="n"/>
      <c r="I178" s="15" t="n"/>
    </row>
    <row r="179" ht="15.75" customHeight="1" s="48">
      <c r="A179" s="15" t="n"/>
      <c r="B179" s="15" t="n"/>
      <c r="C179" s="15" t="n"/>
      <c r="D179" s="15" t="n"/>
      <c r="E179" s="15" t="n"/>
      <c r="F179" s="15" t="n"/>
      <c r="G179" s="15" t="n"/>
      <c r="H179" s="15" t="n"/>
      <c r="I179" s="15" t="n"/>
    </row>
    <row r="180" ht="15.75" customHeight="1" s="48">
      <c r="A180" s="15" t="n"/>
      <c r="B180" s="15" t="n"/>
      <c r="C180" s="15" t="n"/>
      <c r="D180" s="15" t="n"/>
      <c r="E180" s="15" t="n"/>
      <c r="F180" s="15" t="n"/>
      <c r="G180" s="15" t="n"/>
      <c r="H180" s="15" t="n"/>
      <c r="I180" s="15" t="n"/>
    </row>
    <row r="181" ht="15.75" customHeight="1" s="48">
      <c r="A181" s="15" t="n"/>
      <c r="B181" s="15" t="n"/>
      <c r="C181" s="15" t="n"/>
      <c r="D181" s="15" t="n"/>
      <c r="E181" s="15" t="n"/>
      <c r="F181" s="15" t="n"/>
      <c r="G181" s="15" t="n"/>
      <c r="H181" s="15" t="n"/>
      <c r="I181" s="15" t="n"/>
    </row>
    <row r="182" ht="15.75" customHeight="1" s="48">
      <c r="A182" s="15" t="n"/>
      <c r="B182" s="15" t="n"/>
      <c r="C182" s="15" t="n"/>
      <c r="D182" s="15" t="n"/>
      <c r="E182" s="15" t="n"/>
      <c r="F182" s="15" t="n"/>
      <c r="G182" s="15" t="n"/>
      <c r="H182" s="15" t="n"/>
      <c r="I182" s="15" t="n"/>
    </row>
    <row r="183" ht="15.75" customHeight="1" s="48">
      <c r="A183" s="15" t="n"/>
      <c r="B183" s="15" t="n"/>
      <c r="C183" s="15" t="n"/>
      <c r="D183" s="15" t="n"/>
      <c r="E183" s="15" t="n"/>
      <c r="F183" s="15" t="n"/>
      <c r="G183" s="15" t="n"/>
      <c r="H183" s="15" t="n"/>
      <c r="I183" s="15" t="n"/>
    </row>
    <row r="184" ht="15.75" customHeight="1" s="48">
      <c r="A184" s="15" t="n"/>
      <c r="B184" s="15" t="n"/>
      <c r="C184" s="15" t="n"/>
      <c r="D184" s="15" t="n"/>
      <c r="E184" s="15" t="n"/>
      <c r="F184" s="15" t="n"/>
      <c r="G184" s="15" t="n"/>
      <c r="H184" s="15" t="n"/>
      <c r="I184" s="15" t="n"/>
    </row>
    <row r="185" ht="15.75" customHeight="1" s="48">
      <c r="A185" s="15" t="n"/>
      <c r="B185" s="15" t="n"/>
      <c r="C185" s="15" t="n"/>
      <c r="D185" s="15" t="n"/>
      <c r="E185" s="15" t="n"/>
      <c r="F185" s="15" t="n"/>
      <c r="G185" s="15" t="n"/>
      <c r="H185" s="15" t="n"/>
      <c r="I185" s="15" t="n"/>
    </row>
    <row r="186" ht="15.75" customHeight="1" s="48">
      <c r="A186" s="15" t="n"/>
      <c r="B186" s="15" t="n"/>
      <c r="C186" s="15" t="n"/>
      <c r="D186" s="15" t="n"/>
      <c r="E186" s="15" t="n"/>
      <c r="F186" s="15" t="n"/>
      <c r="G186" s="15" t="n"/>
      <c r="H186" s="15" t="n"/>
      <c r="I186" s="15" t="n"/>
    </row>
    <row r="187" ht="15.75" customHeight="1" s="48">
      <c r="A187" s="15" t="n"/>
      <c r="B187" s="15" t="n"/>
      <c r="C187" s="15" t="n"/>
      <c r="D187" s="15" t="n"/>
      <c r="E187" s="15" t="n"/>
      <c r="F187" s="15" t="n"/>
      <c r="G187" s="15" t="n"/>
      <c r="H187" s="15" t="n"/>
      <c r="I187" s="15" t="n"/>
    </row>
    <row r="188" ht="15.75" customHeight="1" s="48">
      <c r="A188" s="15" t="n"/>
      <c r="B188" s="15" t="n"/>
      <c r="C188" s="15" t="n"/>
      <c r="D188" s="15" t="n"/>
      <c r="E188" s="15" t="n"/>
      <c r="F188" s="15" t="n"/>
      <c r="G188" s="15" t="n"/>
      <c r="H188" s="15" t="n"/>
      <c r="I188" s="15" t="n"/>
    </row>
    <row r="189" ht="15.75" customHeight="1" s="48">
      <c r="A189" s="15" t="n"/>
      <c r="B189" s="15" t="n"/>
      <c r="C189" s="15" t="n"/>
      <c r="D189" s="15" t="n"/>
      <c r="E189" s="15" t="n"/>
      <c r="F189" s="15" t="n"/>
      <c r="G189" s="15" t="n"/>
      <c r="H189" s="15" t="n"/>
      <c r="I189" s="15" t="n"/>
    </row>
    <row r="190" ht="15.75" customHeight="1" s="48">
      <c r="A190" s="15" t="n"/>
      <c r="B190" s="15" t="n"/>
      <c r="C190" s="15" t="n"/>
      <c r="D190" s="15" t="n"/>
      <c r="E190" s="15" t="n"/>
      <c r="F190" s="15" t="n"/>
      <c r="G190" s="15" t="n"/>
      <c r="H190" s="15" t="n"/>
      <c r="I190" s="15" t="n"/>
    </row>
    <row r="191" ht="15.75" customHeight="1" s="48">
      <c r="A191" s="15" t="n"/>
      <c r="B191" s="15" t="n"/>
      <c r="C191" s="15" t="n"/>
      <c r="D191" s="15" t="n"/>
      <c r="E191" s="15" t="n"/>
      <c r="F191" s="15" t="n"/>
      <c r="G191" s="15" t="n"/>
      <c r="H191" s="15" t="n"/>
      <c r="I191" s="15" t="n"/>
    </row>
    <row r="192" ht="15.75" customHeight="1" s="48">
      <c r="A192" s="15" t="n"/>
      <c r="B192" s="15" t="n"/>
      <c r="C192" s="15" t="n"/>
      <c r="D192" s="15" t="n"/>
      <c r="E192" s="15" t="n"/>
      <c r="F192" s="15" t="n"/>
      <c r="G192" s="15" t="n"/>
      <c r="H192" s="15" t="n"/>
      <c r="I192" s="15" t="n"/>
    </row>
    <row r="193" ht="15.75" customHeight="1" s="48">
      <c r="A193" s="15" t="n"/>
      <c r="B193" s="15" t="n"/>
      <c r="C193" s="15" t="n"/>
      <c r="D193" s="15" t="n"/>
      <c r="E193" s="15" t="n"/>
      <c r="F193" s="15" t="n"/>
      <c r="G193" s="15" t="n"/>
      <c r="H193" s="15" t="n"/>
      <c r="I193" s="15" t="n"/>
    </row>
    <row r="194" ht="15.75" customHeight="1" s="48">
      <c r="A194" s="15" t="n"/>
      <c r="B194" s="15" t="n"/>
      <c r="C194" s="15" t="n"/>
      <c r="D194" s="15" t="n"/>
      <c r="E194" s="15" t="n"/>
      <c r="F194" s="15" t="n"/>
      <c r="G194" s="15" t="n"/>
      <c r="H194" s="15" t="n"/>
      <c r="I194" s="15" t="n"/>
    </row>
    <row r="195" ht="15.75" customHeight="1" s="48">
      <c r="A195" s="15" t="n"/>
      <c r="B195" s="15" t="n"/>
      <c r="C195" s="15" t="n"/>
      <c r="D195" s="15" t="n"/>
      <c r="E195" s="15" t="n"/>
      <c r="F195" s="15" t="n"/>
      <c r="G195" s="15" t="n"/>
      <c r="H195" s="15" t="n"/>
      <c r="I195" s="15" t="n"/>
    </row>
    <row r="196" ht="15.75" customHeight="1" s="48">
      <c r="A196" s="15" t="n"/>
      <c r="B196" s="15" t="n"/>
      <c r="C196" s="15" t="n"/>
      <c r="D196" s="15" t="n"/>
      <c r="E196" s="15" t="n"/>
      <c r="F196" s="15" t="n"/>
      <c r="G196" s="15" t="n"/>
      <c r="H196" s="15" t="n"/>
      <c r="I196" s="15" t="n"/>
    </row>
    <row r="197" ht="15.75" customHeight="1" s="48">
      <c r="A197" s="15" t="n"/>
      <c r="B197" s="15" t="n"/>
      <c r="C197" s="15" t="n"/>
      <c r="D197" s="15" t="n"/>
      <c r="E197" s="15" t="n"/>
      <c r="F197" s="15" t="n"/>
      <c r="G197" s="15" t="n"/>
      <c r="H197" s="15" t="n"/>
      <c r="I197" s="15" t="n"/>
    </row>
    <row r="198" ht="15.75" customHeight="1" s="48">
      <c r="A198" s="15" t="n"/>
      <c r="B198" s="15" t="n"/>
      <c r="C198" s="15" t="n"/>
      <c r="D198" s="15" t="n"/>
      <c r="E198" s="15" t="n"/>
      <c r="F198" s="15" t="n"/>
      <c r="G198" s="15" t="n"/>
      <c r="H198" s="15" t="n"/>
      <c r="I198" s="15" t="n"/>
    </row>
    <row r="199" ht="15.75" customHeight="1" s="48">
      <c r="A199" s="15" t="n"/>
      <c r="B199" s="15" t="n"/>
      <c r="C199" s="15" t="n"/>
      <c r="D199" s="15" t="n"/>
      <c r="E199" s="15" t="n"/>
      <c r="F199" s="15" t="n"/>
      <c r="G199" s="15" t="n"/>
      <c r="H199" s="15" t="n"/>
      <c r="I199" s="15" t="n"/>
    </row>
    <row r="200" ht="15.75" customHeight="1" s="48">
      <c r="A200" s="15" t="n"/>
      <c r="B200" s="15" t="n"/>
      <c r="C200" s="15" t="n"/>
      <c r="D200" s="15" t="n"/>
      <c r="E200" s="15" t="n"/>
      <c r="F200" s="15" t="n"/>
      <c r="G200" s="15" t="n"/>
      <c r="H200" s="15" t="n"/>
      <c r="I200" s="15" t="n"/>
    </row>
    <row r="201" ht="15.75" customHeight="1" s="48">
      <c r="A201" s="15" t="n"/>
      <c r="B201" s="15" t="n"/>
      <c r="C201" s="15" t="n"/>
      <c r="D201" s="15" t="n"/>
      <c r="E201" s="15" t="n"/>
      <c r="F201" s="15" t="n"/>
      <c r="G201" s="15" t="n"/>
      <c r="H201" s="15" t="n"/>
      <c r="I201" s="15" t="n"/>
    </row>
    <row r="202" ht="15.75" customHeight="1" s="48">
      <c r="A202" s="15" t="n"/>
      <c r="B202" s="15" t="n"/>
      <c r="C202" s="15" t="n"/>
      <c r="D202" s="15" t="n"/>
      <c r="E202" s="15" t="n"/>
      <c r="F202" s="15" t="n"/>
      <c r="G202" s="15" t="n"/>
      <c r="H202" s="15" t="n"/>
      <c r="I202" s="15" t="n"/>
    </row>
    <row r="203" ht="15.75" customHeight="1" s="48">
      <c r="A203" s="15" t="n"/>
      <c r="B203" s="15" t="n"/>
      <c r="C203" s="15" t="n"/>
      <c r="D203" s="15" t="n"/>
      <c r="E203" s="15" t="n"/>
      <c r="F203" s="15" t="n"/>
      <c r="G203" s="15" t="n"/>
      <c r="H203" s="15" t="n"/>
      <c r="I203" s="15" t="n"/>
    </row>
    <row r="204" ht="15.75" customHeight="1" s="48">
      <c r="A204" s="15" t="n"/>
      <c r="B204" s="15" t="n"/>
      <c r="C204" s="15" t="n"/>
      <c r="D204" s="15" t="n"/>
      <c r="E204" s="15" t="n"/>
      <c r="F204" s="15" t="n"/>
      <c r="G204" s="15" t="n"/>
      <c r="H204" s="15" t="n"/>
      <c r="I204" s="15" t="n"/>
    </row>
    <row r="205" ht="15.75" customHeight="1" s="48">
      <c r="A205" s="15" t="n"/>
      <c r="B205" s="15" t="n"/>
      <c r="C205" s="15" t="n"/>
      <c r="D205" s="15" t="n"/>
      <c r="E205" s="15" t="n"/>
      <c r="F205" s="15" t="n"/>
      <c r="G205" s="15" t="n"/>
      <c r="H205" s="15" t="n"/>
      <c r="I205" s="15" t="n"/>
    </row>
    <row r="206" ht="15.75" customHeight="1" s="48">
      <c r="A206" s="15" t="n"/>
      <c r="B206" s="15" t="n"/>
      <c r="C206" s="15" t="n"/>
      <c r="D206" s="15" t="n"/>
      <c r="E206" s="15" t="n"/>
      <c r="F206" s="15" t="n"/>
      <c r="G206" s="15" t="n"/>
      <c r="H206" s="15" t="n"/>
      <c r="I206" s="15" t="n"/>
    </row>
    <row r="207" ht="15.75" customHeight="1" s="48">
      <c r="A207" s="15" t="n"/>
      <c r="B207" s="15" t="n"/>
      <c r="C207" s="15" t="n"/>
      <c r="D207" s="15" t="n"/>
      <c r="E207" s="15" t="n"/>
      <c r="F207" s="15" t="n"/>
      <c r="G207" s="15" t="n"/>
      <c r="H207" s="15" t="n"/>
      <c r="I207" s="15" t="n"/>
    </row>
    <row r="208" ht="15.75" customHeight="1" s="48">
      <c r="A208" s="15" t="n"/>
      <c r="B208" s="15" t="n"/>
      <c r="C208" s="15" t="n"/>
      <c r="D208" s="15" t="n"/>
      <c r="E208" s="15" t="n"/>
      <c r="F208" s="15" t="n"/>
      <c r="G208" s="15" t="n"/>
      <c r="H208" s="15" t="n"/>
      <c r="I208" s="15" t="n"/>
    </row>
    <row r="209" ht="15.75" customHeight="1" s="48">
      <c r="A209" s="15" t="n"/>
      <c r="B209" s="15" t="n"/>
      <c r="C209" s="15" t="n"/>
      <c r="D209" s="15" t="n"/>
      <c r="E209" s="15" t="n"/>
      <c r="F209" s="15" t="n"/>
      <c r="G209" s="15" t="n"/>
      <c r="H209" s="15" t="n"/>
      <c r="I209" s="15" t="n"/>
    </row>
    <row r="210" ht="15.75" customHeight="1" s="48">
      <c r="A210" s="15" t="n"/>
      <c r="B210" s="15" t="n"/>
      <c r="C210" s="15" t="n"/>
      <c r="D210" s="15" t="n"/>
      <c r="E210" s="15" t="n"/>
      <c r="F210" s="15" t="n"/>
      <c r="G210" s="15" t="n"/>
      <c r="H210" s="15" t="n"/>
      <c r="I210" s="15" t="n"/>
    </row>
    <row r="211" ht="15.75" customHeight="1" s="48">
      <c r="A211" s="15" t="n"/>
      <c r="B211" s="15" t="n"/>
      <c r="C211" s="15" t="n"/>
      <c r="D211" s="15" t="n"/>
      <c r="E211" s="15" t="n"/>
      <c r="F211" s="15" t="n"/>
      <c r="G211" s="15" t="n"/>
      <c r="H211" s="15" t="n"/>
      <c r="I211" s="15" t="n"/>
    </row>
    <row r="212" ht="15.75" customHeight="1" s="48">
      <c r="A212" s="15" t="n"/>
      <c r="B212" s="15" t="n"/>
      <c r="C212" s="15" t="n"/>
      <c r="D212" s="15" t="n"/>
      <c r="E212" s="15" t="n"/>
      <c r="F212" s="15" t="n"/>
      <c r="G212" s="15" t="n"/>
      <c r="H212" s="15" t="n"/>
      <c r="I212" s="15" t="n"/>
    </row>
    <row r="213" ht="15.75" customHeight="1" s="48">
      <c r="A213" s="15" t="n"/>
      <c r="B213" s="15" t="n"/>
      <c r="C213" s="15" t="n"/>
      <c r="D213" s="15" t="n"/>
      <c r="E213" s="15" t="n"/>
      <c r="F213" s="15" t="n"/>
      <c r="G213" s="15" t="n"/>
      <c r="H213" s="15" t="n"/>
      <c r="I213" s="15" t="n"/>
    </row>
    <row r="214" ht="15.75" customHeight="1" s="48">
      <c r="A214" s="15" t="n"/>
      <c r="B214" s="15" t="n"/>
      <c r="C214" s="15" t="n"/>
      <c r="D214" s="15" t="n"/>
      <c r="E214" s="15" t="n"/>
      <c r="F214" s="15" t="n"/>
      <c r="G214" s="15" t="n"/>
      <c r="H214" s="15" t="n"/>
      <c r="I214" s="15" t="n"/>
    </row>
    <row r="215" ht="15.75" customHeight="1" s="48">
      <c r="A215" s="15" t="n"/>
      <c r="B215" s="15" t="n"/>
      <c r="C215" s="15" t="n"/>
      <c r="D215" s="15" t="n"/>
      <c r="E215" s="15" t="n"/>
      <c r="F215" s="15" t="n"/>
      <c r="G215" s="15" t="n"/>
      <c r="H215" s="15" t="n"/>
      <c r="I215" s="15" t="n"/>
    </row>
    <row r="216" ht="15.75" customHeight="1" s="48">
      <c r="A216" s="15" t="n"/>
      <c r="B216" s="15" t="n"/>
      <c r="C216" s="15" t="n"/>
      <c r="D216" s="15" t="n"/>
      <c r="E216" s="15" t="n"/>
      <c r="F216" s="15" t="n"/>
      <c r="G216" s="15" t="n"/>
      <c r="H216" s="15" t="n"/>
      <c r="I216" s="15" t="n"/>
    </row>
    <row r="217" ht="15.75" customHeight="1" s="48">
      <c r="A217" s="15" t="n"/>
      <c r="B217" s="15" t="n"/>
      <c r="C217" s="15" t="n"/>
      <c r="D217" s="15" t="n"/>
      <c r="E217" s="15" t="n"/>
      <c r="F217" s="15" t="n"/>
      <c r="G217" s="15" t="n"/>
      <c r="H217" s="15" t="n"/>
      <c r="I217" s="15" t="n"/>
    </row>
    <row r="218" ht="15.75" customHeight="1" s="48">
      <c r="A218" s="15" t="n"/>
      <c r="B218" s="15" t="n"/>
      <c r="C218" s="15" t="n"/>
      <c r="D218" s="15" t="n"/>
      <c r="E218" s="15" t="n"/>
      <c r="F218" s="15" t="n"/>
      <c r="G218" s="15" t="n"/>
      <c r="H218" s="15" t="n"/>
      <c r="I218" s="15" t="n"/>
    </row>
    <row r="219" ht="15.75" customHeight="1" s="48">
      <c r="A219" s="15" t="n"/>
      <c r="B219" s="15" t="n"/>
      <c r="C219" s="15" t="n"/>
      <c r="D219" s="15" t="n"/>
      <c r="E219" s="15" t="n"/>
      <c r="F219" s="15" t="n"/>
      <c r="G219" s="15" t="n"/>
      <c r="H219" s="15" t="n"/>
      <c r="I219" s="15" t="n"/>
    </row>
    <row r="220" ht="15.75" customHeight="1" s="48">
      <c r="A220" s="15" t="n"/>
      <c r="B220" s="15" t="n"/>
      <c r="C220" s="15" t="n"/>
      <c r="D220" s="15" t="n"/>
      <c r="E220" s="15" t="n"/>
      <c r="F220" s="15" t="n"/>
      <c r="G220" s="15" t="n"/>
      <c r="H220" s="15" t="n"/>
      <c r="I220" s="15" t="n"/>
    </row>
    <row r="221" ht="15.75" customHeight="1" s="48">
      <c r="A221" s="15" t="n"/>
      <c r="B221" s="15" t="n"/>
      <c r="C221" s="15" t="n"/>
      <c r="D221" s="15" t="n"/>
      <c r="E221" s="15" t="n"/>
      <c r="F221" s="15" t="n"/>
      <c r="G221" s="15" t="n"/>
      <c r="H221" s="15" t="n"/>
      <c r="I221" s="15" t="n"/>
    </row>
    <row r="222" ht="15.75" customHeight="1" s="48">
      <c r="A222" s="15" t="n"/>
      <c r="B222" s="15" t="n"/>
      <c r="C222" s="15" t="n"/>
      <c r="D222" s="15" t="n"/>
      <c r="E222" s="15" t="n"/>
      <c r="F222" s="15" t="n"/>
      <c r="G222" s="15" t="n"/>
      <c r="H222" s="15" t="n"/>
      <c r="I222" s="15" t="n"/>
    </row>
    <row r="223" ht="15.75" customHeight="1" s="48">
      <c r="A223" s="15" t="n"/>
      <c r="B223" s="15" t="n"/>
      <c r="C223" s="15" t="n"/>
      <c r="D223" s="15" t="n"/>
      <c r="E223" s="15" t="n"/>
      <c r="F223" s="15" t="n"/>
      <c r="G223" s="15" t="n"/>
      <c r="H223" s="15" t="n"/>
      <c r="I223" s="15" t="n"/>
    </row>
    <row r="224" ht="15.75" customHeight="1" s="48">
      <c r="A224" s="15" t="n"/>
      <c r="B224" s="15" t="n"/>
      <c r="C224" s="15" t="n"/>
      <c r="D224" s="15" t="n"/>
      <c r="E224" s="15" t="n"/>
      <c r="F224" s="15" t="n"/>
      <c r="G224" s="15" t="n"/>
      <c r="H224" s="15" t="n"/>
      <c r="I224" s="15" t="n"/>
    </row>
    <row r="225" ht="15.75" customHeight="1" s="48">
      <c r="A225" s="15" t="n"/>
      <c r="B225" s="15" t="n"/>
      <c r="C225" s="15" t="n"/>
      <c r="D225" s="15" t="n"/>
      <c r="E225" s="15" t="n"/>
      <c r="F225" s="15" t="n"/>
      <c r="G225" s="15" t="n"/>
      <c r="H225" s="15" t="n"/>
      <c r="I225" s="15" t="n"/>
    </row>
    <row r="226" ht="15.75" customHeight="1" s="48">
      <c r="A226" s="15" t="n"/>
      <c r="B226" s="15" t="n"/>
      <c r="C226" s="15" t="n"/>
      <c r="D226" s="15" t="n"/>
      <c r="E226" s="15" t="n"/>
      <c r="F226" s="15" t="n"/>
      <c r="G226" s="15" t="n"/>
      <c r="H226" s="15" t="n"/>
      <c r="I226" s="15" t="n"/>
    </row>
    <row r="227" ht="15.75" customHeight="1" s="48">
      <c r="A227" s="15" t="n"/>
      <c r="B227" s="15" t="n"/>
      <c r="C227" s="15" t="n"/>
      <c r="D227" s="15" t="n"/>
      <c r="E227" s="15" t="n"/>
      <c r="F227" s="15" t="n"/>
      <c r="G227" s="15" t="n"/>
      <c r="H227" s="15" t="n"/>
      <c r="I227" s="15" t="n"/>
    </row>
    <row r="228" ht="15.75" customHeight="1" s="48">
      <c r="A228" s="15" t="n"/>
      <c r="B228" s="15" t="n"/>
      <c r="C228" s="15" t="n"/>
      <c r="D228" s="15" t="n"/>
      <c r="E228" s="15" t="n"/>
      <c r="F228" s="15" t="n"/>
      <c r="G228" s="15" t="n"/>
      <c r="H228" s="15" t="n"/>
      <c r="I228" s="15" t="n"/>
    </row>
    <row r="229" ht="15.75" customHeight="1" s="48">
      <c r="A229" s="15" t="n"/>
      <c r="B229" s="15" t="n"/>
      <c r="C229" s="15" t="n"/>
      <c r="D229" s="15" t="n"/>
      <c r="E229" s="15" t="n"/>
      <c r="F229" s="15" t="n"/>
      <c r="G229" s="15" t="n"/>
      <c r="H229" s="15" t="n"/>
      <c r="I229" s="15" t="n"/>
    </row>
    <row r="230" ht="15.75" customHeight="1" s="48">
      <c r="A230" s="15" t="n"/>
      <c r="B230" s="15" t="n"/>
      <c r="C230" s="15" t="n"/>
      <c r="D230" s="15" t="n"/>
      <c r="E230" s="15" t="n"/>
      <c r="F230" s="15" t="n"/>
      <c r="G230" s="15" t="n"/>
      <c r="H230" s="15" t="n"/>
      <c r="I230" s="15" t="n"/>
    </row>
    <row r="231" ht="15.75" customHeight="1" s="48">
      <c r="A231" s="15" t="n"/>
      <c r="B231" s="15" t="n"/>
      <c r="C231" s="15" t="n"/>
      <c r="D231" s="15" t="n"/>
      <c r="E231" s="15" t="n"/>
      <c r="F231" s="15" t="n"/>
      <c r="G231" s="15" t="n"/>
      <c r="H231" s="15" t="n"/>
      <c r="I231" s="15" t="n"/>
    </row>
    <row r="232" ht="15.75" customHeight="1" s="48">
      <c r="A232" s="15" t="n"/>
      <c r="B232" s="15" t="n"/>
      <c r="C232" s="15" t="n"/>
      <c r="D232" s="15" t="n"/>
      <c r="E232" s="15" t="n"/>
      <c r="F232" s="15" t="n"/>
      <c r="G232" s="15" t="n"/>
      <c r="H232" s="15" t="n"/>
      <c r="I232" s="15" t="n"/>
    </row>
    <row r="233" ht="15.75" customHeight="1" s="48">
      <c r="A233" s="15" t="n"/>
      <c r="B233" s="15" t="n"/>
      <c r="C233" s="15" t="n"/>
      <c r="D233" s="15" t="n"/>
      <c r="E233" s="15" t="n"/>
      <c r="F233" s="15" t="n"/>
      <c r="G233" s="15" t="n"/>
      <c r="H233" s="15" t="n"/>
      <c r="I233" s="15" t="n"/>
    </row>
    <row r="234" ht="15.75" customHeight="1" s="48">
      <c r="A234" s="15" t="n"/>
      <c r="B234" s="15" t="n"/>
      <c r="C234" s="15" t="n"/>
      <c r="D234" s="15" t="n"/>
      <c r="E234" s="15" t="n"/>
      <c r="F234" s="15" t="n"/>
      <c r="G234" s="15" t="n"/>
      <c r="H234" s="15" t="n"/>
      <c r="I234" s="15" t="n"/>
    </row>
    <row r="235" ht="15.75" customHeight="1" s="48">
      <c r="A235" s="15" t="n"/>
      <c r="B235" s="15" t="n"/>
      <c r="C235" s="15" t="n"/>
      <c r="D235" s="15" t="n"/>
      <c r="E235" s="15" t="n"/>
      <c r="F235" s="15" t="n"/>
      <c r="G235" s="15" t="n"/>
      <c r="H235" s="15" t="n"/>
      <c r="I235" s="15" t="n"/>
    </row>
    <row r="236" ht="15.75" customHeight="1" s="48">
      <c r="A236" s="15" t="n"/>
      <c r="B236" s="15" t="n"/>
      <c r="C236" s="15" t="n"/>
      <c r="D236" s="15" t="n"/>
      <c r="E236" s="15" t="n"/>
      <c r="F236" s="15" t="n"/>
      <c r="G236" s="15" t="n"/>
      <c r="H236" s="15" t="n"/>
      <c r="I236" s="15" t="n"/>
    </row>
    <row r="237" ht="15.75" customHeight="1" s="48">
      <c r="A237" s="15" t="n"/>
      <c r="B237" s="15" t="n"/>
      <c r="C237" s="15" t="n"/>
      <c r="D237" s="15" t="n"/>
      <c r="E237" s="15" t="n"/>
      <c r="F237" s="15" t="n"/>
      <c r="G237" s="15" t="n"/>
      <c r="H237" s="15" t="n"/>
      <c r="I237" s="15" t="n"/>
    </row>
    <row r="238" ht="15.75" customHeight="1" s="48">
      <c r="A238" s="15" t="n"/>
      <c r="B238" s="15" t="n"/>
      <c r="C238" s="15" t="n"/>
      <c r="D238" s="15" t="n"/>
      <c r="E238" s="15" t="n"/>
      <c r="F238" s="15" t="n"/>
      <c r="G238" s="15" t="n"/>
      <c r="H238" s="15" t="n"/>
      <c r="I238" s="15" t="n"/>
    </row>
    <row r="239" ht="15.75" customHeight="1" s="48">
      <c r="A239" s="15" t="n"/>
      <c r="B239" s="15" t="n"/>
      <c r="C239" s="15" t="n"/>
      <c r="D239" s="15" t="n"/>
      <c r="E239" s="15" t="n"/>
      <c r="F239" s="15" t="n"/>
      <c r="G239" s="15" t="n"/>
      <c r="H239" s="15" t="n"/>
      <c r="I239" s="15" t="n"/>
    </row>
    <row r="240" ht="15.75" customHeight="1" s="48">
      <c r="A240" s="15" t="n"/>
      <c r="B240" s="15" t="n"/>
      <c r="C240" s="15" t="n"/>
      <c r="D240" s="15" t="n"/>
      <c r="E240" s="15" t="n"/>
      <c r="F240" s="15" t="n"/>
      <c r="G240" s="15" t="n"/>
      <c r="H240" s="15" t="n"/>
      <c r="I240" s="15" t="n"/>
    </row>
    <row r="241" ht="15.75" customHeight="1" s="48">
      <c r="A241" s="15" t="n"/>
      <c r="B241" s="15" t="n"/>
      <c r="C241" s="15" t="n"/>
      <c r="D241" s="15" t="n"/>
      <c r="E241" s="15" t="n"/>
      <c r="F241" s="15" t="n"/>
      <c r="G241" s="15" t="n"/>
      <c r="H241" s="15" t="n"/>
      <c r="I241" s="15" t="n"/>
    </row>
    <row r="242" ht="15.75" customHeight="1" s="48">
      <c r="A242" s="15" t="n"/>
      <c r="B242" s="15" t="n"/>
      <c r="C242" s="15" t="n"/>
      <c r="D242" s="15" t="n"/>
      <c r="E242" s="15" t="n"/>
      <c r="F242" s="15" t="n"/>
      <c r="G242" s="15" t="n"/>
      <c r="H242" s="15" t="n"/>
      <c r="I242" s="15" t="n"/>
    </row>
    <row r="243" ht="15.75" customHeight="1" s="48">
      <c r="A243" s="15" t="n"/>
      <c r="B243" s="15" t="n"/>
      <c r="C243" s="15" t="n"/>
      <c r="D243" s="15" t="n"/>
      <c r="E243" s="15" t="n"/>
      <c r="F243" s="15" t="n"/>
      <c r="G243" s="15" t="n"/>
      <c r="H243" s="15" t="n"/>
      <c r="I243" s="15" t="n"/>
    </row>
    <row r="244" ht="15.75" customHeight="1" s="48">
      <c r="A244" s="15" t="n"/>
      <c r="B244" s="15" t="n"/>
      <c r="C244" s="15" t="n"/>
      <c r="D244" s="15" t="n"/>
      <c r="E244" s="15" t="n"/>
      <c r="F244" s="15" t="n"/>
      <c r="G244" s="15" t="n"/>
      <c r="H244" s="15" t="n"/>
      <c r="I244" s="15" t="n"/>
    </row>
    <row r="245" ht="15.75" customHeight="1" s="48">
      <c r="A245" s="15" t="n"/>
      <c r="B245" s="15" t="n"/>
      <c r="C245" s="15" t="n"/>
      <c r="D245" s="15" t="n"/>
      <c r="E245" s="15" t="n"/>
      <c r="F245" s="15" t="n"/>
      <c r="G245" s="15" t="n"/>
      <c r="H245" s="15" t="n"/>
      <c r="I245" s="15" t="n"/>
    </row>
    <row r="246" ht="15.75" customHeight="1" s="48">
      <c r="A246" s="15" t="n"/>
      <c r="B246" s="15" t="n"/>
      <c r="C246" s="15" t="n"/>
      <c r="D246" s="15" t="n"/>
      <c r="E246" s="15" t="n"/>
      <c r="F246" s="15" t="n"/>
      <c r="G246" s="15" t="n"/>
      <c r="H246" s="15" t="n"/>
      <c r="I246" s="15" t="n"/>
    </row>
    <row r="247" ht="15.75" customHeight="1" s="48">
      <c r="A247" s="15" t="n"/>
      <c r="B247" s="15" t="n"/>
      <c r="C247" s="15" t="n"/>
      <c r="D247" s="15" t="n"/>
      <c r="E247" s="15" t="n"/>
      <c r="F247" s="15" t="n"/>
      <c r="G247" s="15" t="n"/>
      <c r="H247" s="15" t="n"/>
      <c r="I247" s="15" t="n"/>
    </row>
    <row r="248" ht="15.75" customHeight="1" s="48">
      <c r="A248" s="15" t="n"/>
      <c r="B248" s="15" t="n"/>
      <c r="C248" s="15" t="n"/>
      <c r="D248" s="15" t="n"/>
      <c r="E248" s="15" t="n"/>
      <c r="F248" s="15" t="n"/>
      <c r="G248" s="15" t="n"/>
      <c r="H248" s="15" t="n"/>
      <c r="I248" s="15" t="n"/>
    </row>
    <row r="249" ht="15.75" customHeight="1" s="48">
      <c r="A249" s="15" t="n"/>
      <c r="B249" s="15" t="n"/>
      <c r="C249" s="15" t="n"/>
      <c r="D249" s="15" t="n"/>
      <c r="E249" s="15" t="n"/>
      <c r="F249" s="15" t="n"/>
      <c r="G249" s="15" t="n"/>
      <c r="H249" s="15" t="n"/>
      <c r="I249" s="15" t="n"/>
    </row>
    <row r="250" ht="15.75" customHeight="1" s="48">
      <c r="A250" s="15" t="n"/>
      <c r="B250" s="15" t="n"/>
      <c r="C250" s="15" t="n"/>
      <c r="D250" s="15" t="n"/>
      <c r="E250" s="15" t="n"/>
      <c r="F250" s="15" t="n"/>
      <c r="G250" s="15" t="n"/>
      <c r="H250" s="15" t="n"/>
      <c r="I250" s="15" t="n"/>
    </row>
    <row r="251" ht="15.75" customHeight="1" s="48">
      <c r="A251" s="15" t="n"/>
      <c r="B251" s="15" t="n"/>
      <c r="C251" s="15" t="n"/>
      <c r="D251" s="15" t="n"/>
      <c r="E251" s="15" t="n"/>
      <c r="F251" s="15" t="n"/>
      <c r="G251" s="15" t="n"/>
      <c r="H251" s="15" t="n"/>
      <c r="I251" s="15" t="n"/>
    </row>
    <row r="252" ht="15.75" customHeight="1" s="48">
      <c r="A252" s="15" t="n"/>
      <c r="B252" s="15" t="n"/>
      <c r="C252" s="15" t="n"/>
      <c r="D252" s="15" t="n"/>
      <c r="E252" s="15" t="n"/>
      <c r="F252" s="15" t="n"/>
      <c r="G252" s="15" t="n"/>
      <c r="H252" s="15" t="n"/>
      <c r="I252" s="15" t="n"/>
    </row>
    <row r="253" ht="15.75" customHeight="1" s="48">
      <c r="A253" s="15" t="n"/>
      <c r="B253" s="15" t="n"/>
      <c r="C253" s="15" t="n"/>
      <c r="D253" s="15" t="n"/>
      <c r="E253" s="15" t="n"/>
      <c r="F253" s="15" t="n"/>
      <c r="G253" s="15" t="n"/>
      <c r="H253" s="15" t="n"/>
      <c r="I253" s="15" t="n"/>
    </row>
    <row r="254" ht="15.75" customHeight="1" s="48">
      <c r="A254" s="15" t="n"/>
      <c r="B254" s="15" t="n"/>
      <c r="C254" s="15" t="n"/>
      <c r="D254" s="15" t="n"/>
      <c r="E254" s="15" t="n"/>
      <c r="F254" s="15" t="n"/>
      <c r="G254" s="15" t="n"/>
      <c r="H254" s="15" t="n"/>
      <c r="I254" s="15" t="n"/>
    </row>
    <row r="255" ht="15.75" customHeight="1" s="48">
      <c r="A255" s="15" t="n"/>
      <c r="B255" s="15" t="n"/>
      <c r="C255" s="15" t="n"/>
      <c r="D255" s="15" t="n"/>
      <c r="E255" s="15" t="n"/>
      <c r="F255" s="15" t="n"/>
      <c r="G255" s="15" t="n"/>
      <c r="H255" s="15" t="n"/>
      <c r="I255" s="15" t="n"/>
    </row>
    <row r="256" ht="15.75" customHeight="1" s="48">
      <c r="A256" s="15" t="n"/>
      <c r="B256" s="15" t="n"/>
      <c r="C256" s="15" t="n"/>
      <c r="D256" s="15" t="n"/>
      <c r="E256" s="15" t="n"/>
      <c r="F256" s="15" t="n"/>
      <c r="G256" s="15" t="n"/>
      <c r="H256" s="15" t="n"/>
      <c r="I256" s="15" t="n"/>
    </row>
    <row r="257" ht="15.75" customHeight="1" s="48">
      <c r="A257" s="15" t="n"/>
      <c r="B257" s="15" t="n"/>
      <c r="C257" s="15" t="n"/>
      <c r="D257" s="15" t="n"/>
      <c r="E257" s="15" t="n"/>
      <c r="F257" s="15" t="n"/>
      <c r="G257" s="15" t="n"/>
      <c r="H257" s="15" t="n"/>
      <c r="I257" s="15" t="n"/>
    </row>
    <row r="258" ht="15.75" customHeight="1" s="48">
      <c r="A258" s="15" t="n"/>
      <c r="B258" s="15" t="n"/>
      <c r="C258" s="15" t="n"/>
      <c r="D258" s="15" t="n"/>
      <c r="E258" s="15" t="n"/>
      <c r="F258" s="15" t="n"/>
      <c r="G258" s="15" t="n"/>
      <c r="H258" s="15" t="n"/>
      <c r="I258" s="15" t="n"/>
    </row>
    <row r="259" ht="15.75" customHeight="1" s="48">
      <c r="A259" s="15" t="n"/>
      <c r="B259" s="15" t="n"/>
      <c r="C259" s="15" t="n"/>
      <c r="D259" s="15" t="n"/>
      <c r="E259" s="15" t="n"/>
      <c r="F259" s="15" t="n"/>
      <c r="G259" s="15" t="n"/>
      <c r="H259" s="15" t="n"/>
      <c r="I259" s="15" t="n"/>
    </row>
    <row r="260" ht="15.75" customHeight="1" s="48">
      <c r="A260" s="15" t="n"/>
      <c r="B260" s="15" t="n"/>
      <c r="C260" s="15" t="n"/>
      <c r="D260" s="15" t="n"/>
      <c r="E260" s="15" t="n"/>
      <c r="F260" s="15" t="n"/>
      <c r="G260" s="15" t="n"/>
      <c r="H260" s="15" t="n"/>
      <c r="I260" s="15" t="n"/>
    </row>
    <row r="261" ht="15.75" customHeight="1" s="48">
      <c r="A261" s="15" t="n"/>
      <c r="B261" s="15" t="n"/>
      <c r="C261" s="15" t="n"/>
      <c r="D261" s="15" t="n"/>
      <c r="E261" s="15" t="n"/>
      <c r="F261" s="15" t="n"/>
      <c r="G261" s="15" t="n"/>
      <c r="H261" s="15" t="n"/>
      <c r="I261" s="15" t="n"/>
    </row>
    <row r="262" ht="15.75" customHeight="1" s="48">
      <c r="A262" s="15" t="n"/>
      <c r="B262" s="15" t="n"/>
      <c r="C262" s="15" t="n"/>
      <c r="D262" s="15" t="n"/>
      <c r="E262" s="15" t="n"/>
      <c r="F262" s="15" t="n"/>
      <c r="G262" s="15" t="n"/>
      <c r="H262" s="15" t="n"/>
      <c r="I262" s="15" t="n"/>
    </row>
    <row r="263" ht="15.75" customHeight="1" s="48">
      <c r="A263" s="15" t="n"/>
      <c r="B263" s="15" t="n"/>
      <c r="C263" s="15" t="n"/>
      <c r="D263" s="15" t="n"/>
      <c r="E263" s="15" t="n"/>
      <c r="F263" s="15" t="n"/>
      <c r="G263" s="15" t="n"/>
      <c r="H263" s="15" t="n"/>
      <c r="I263" s="15" t="n"/>
    </row>
    <row r="264" ht="15.75" customHeight="1" s="48">
      <c r="A264" s="15" t="n"/>
      <c r="B264" s="15" t="n"/>
      <c r="C264" s="15" t="n"/>
      <c r="D264" s="15" t="n"/>
      <c r="E264" s="15" t="n"/>
      <c r="F264" s="15" t="n"/>
      <c r="G264" s="15" t="n"/>
      <c r="H264" s="15" t="n"/>
      <c r="I264" s="15" t="n"/>
    </row>
    <row r="265" ht="15.75" customHeight="1" s="48">
      <c r="A265" s="15" t="n"/>
      <c r="B265" s="15" t="n"/>
      <c r="C265" s="15" t="n"/>
      <c r="D265" s="15" t="n"/>
      <c r="E265" s="15" t="n"/>
      <c r="F265" s="15" t="n"/>
      <c r="G265" s="15" t="n"/>
      <c r="H265" s="15" t="n"/>
      <c r="I265" s="15" t="n"/>
    </row>
    <row r="266" ht="15.75" customHeight="1" s="48">
      <c r="A266" s="15" t="n"/>
      <c r="B266" s="15" t="n"/>
      <c r="C266" s="15" t="n"/>
      <c r="D266" s="15" t="n"/>
      <c r="E266" s="15" t="n"/>
      <c r="F266" s="15" t="n"/>
      <c r="G266" s="15" t="n"/>
      <c r="H266" s="15" t="n"/>
      <c r="I266" s="15" t="n"/>
    </row>
    <row r="267" ht="15.75" customHeight="1" s="48">
      <c r="A267" s="15" t="n"/>
      <c r="B267" s="15" t="n"/>
      <c r="C267" s="15" t="n"/>
      <c r="D267" s="15" t="n"/>
      <c r="E267" s="15" t="n"/>
      <c r="F267" s="15" t="n"/>
      <c r="G267" s="15" t="n"/>
      <c r="H267" s="15" t="n"/>
      <c r="I267" s="15" t="n"/>
    </row>
    <row r="268" ht="15.75" customHeight="1" s="48">
      <c r="A268" s="15" t="n"/>
      <c r="B268" s="15" t="n"/>
      <c r="C268" s="15" t="n"/>
      <c r="D268" s="15" t="n"/>
      <c r="E268" s="15" t="n"/>
      <c r="F268" s="15" t="n"/>
      <c r="G268" s="15" t="n"/>
      <c r="H268" s="15" t="n"/>
      <c r="I268" s="15" t="n"/>
    </row>
    <row r="269" ht="15.75" customHeight="1" s="48">
      <c r="A269" s="15" t="n"/>
      <c r="B269" s="15" t="n"/>
      <c r="C269" s="15" t="n"/>
      <c r="D269" s="15" t="n"/>
      <c r="E269" s="15" t="n"/>
      <c r="F269" s="15" t="n"/>
      <c r="G269" s="15" t="n"/>
      <c r="H269" s="15" t="n"/>
      <c r="I269" s="15" t="n"/>
    </row>
    <row r="270" ht="15.75" customHeight="1" s="48">
      <c r="A270" s="15" t="n"/>
      <c r="B270" s="15" t="n"/>
      <c r="C270" s="15" t="n"/>
      <c r="D270" s="15" t="n"/>
      <c r="E270" s="15" t="n"/>
      <c r="F270" s="15" t="n"/>
      <c r="G270" s="15" t="n"/>
      <c r="H270" s="15" t="n"/>
      <c r="I270" s="15" t="n"/>
    </row>
    <row r="271" ht="15.75" customHeight="1" s="48">
      <c r="A271" s="15" t="n"/>
      <c r="B271" s="15" t="n"/>
      <c r="C271" s="15" t="n"/>
      <c r="D271" s="15" t="n"/>
      <c r="E271" s="15" t="n"/>
      <c r="F271" s="15" t="n"/>
      <c r="G271" s="15" t="n"/>
      <c r="H271" s="15" t="n"/>
      <c r="I271" s="15" t="n"/>
    </row>
    <row r="272" ht="15.75" customHeight="1" s="48">
      <c r="A272" s="15" t="n"/>
      <c r="B272" s="15" t="n"/>
      <c r="C272" s="15" t="n"/>
      <c r="D272" s="15" t="n"/>
      <c r="E272" s="15" t="n"/>
      <c r="F272" s="15" t="n"/>
      <c r="G272" s="15" t="n"/>
      <c r="H272" s="15" t="n"/>
      <c r="I272" s="15" t="n"/>
    </row>
    <row r="273" ht="15.75" customHeight="1" s="48">
      <c r="A273" s="15" t="n"/>
      <c r="B273" s="15" t="n"/>
      <c r="C273" s="15" t="n"/>
      <c r="D273" s="15" t="n"/>
      <c r="E273" s="15" t="n"/>
      <c r="F273" s="15" t="n"/>
      <c r="G273" s="15" t="n"/>
      <c r="H273" s="15" t="n"/>
      <c r="I273" s="15" t="n"/>
    </row>
    <row r="274" ht="15.75" customHeight="1" s="48">
      <c r="A274" s="15" t="n"/>
      <c r="B274" s="15" t="n"/>
      <c r="C274" s="15" t="n"/>
      <c r="D274" s="15" t="n"/>
      <c r="E274" s="15" t="n"/>
      <c r="F274" s="15" t="n"/>
      <c r="G274" s="15" t="n"/>
      <c r="H274" s="15" t="n"/>
      <c r="I274" s="15" t="n"/>
    </row>
    <row r="275" ht="15.75" customHeight="1" s="48">
      <c r="A275" s="15" t="n"/>
      <c r="B275" s="15" t="n"/>
      <c r="C275" s="15" t="n"/>
      <c r="D275" s="15" t="n"/>
      <c r="E275" s="15" t="n"/>
      <c r="F275" s="15" t="n"/>
      <c r="G275" s="15" t="n"/>
      <c r="H275" s="15" t="n"/>
      <c r="I275" s="15" t="n"/>
    </row>
    <row r="276" ht="15.75" customHeight="1" s="48">
      <c r="A276" s="15" t="n"/>
      <c r="B276" s="15" t="n"/>
      <c r="C276" s="15" t="n"/>
      <c r="D276" s="15" t="n"/>
      <c r="E276" s="15" t="n"/>
      <c r="F276" s="15" t="n"/>
      <c r="G276" s="15" t="n"/>
      <c r="H276" s="15" t="n"/>
      <c r="I276" s="15" t="n"/>
    </row>
    <row r="277" ht="15.75" customHeight="1" s="48">
      <c r="A277" s="15" t="n"/>
      <c r="B277" s="15" t="n"/>
      <c r="C277" s="15" t="n"/>
      <c r="D277" s="15" t="n"/>
      <c r="E277" s="15" t="n"/>
      <c r="F277" s="15" t="n"/>
      <c r="G277" s="15" t="n"/>
      <c r="H277" s="15" t="n"/>
      <c r="I277" s="15" t="n"/>
    </row>
    <row r="278" ht="15.75" customHeight="1" s="48">
      <c r="A278" s="15" t="n"/>
      <c r="B278" s="15" t="n"/>
      <c r="C278" s="15" t="n"/>
      <c r="D278" s="15" t="n"/>
      <c r="E278" s="15" t="n"/>
      <c r="F278" s="15" t="n"/>
      <c r="G278" s="15" t="n"/>
      <c r="H278" s="15" t="n"/>
      <c r="I278" s="15" t="n"/>
    </row>
    <row r="279" ht="15.75" customHeight="1" s="48">
      <c r="A279" s="15" t="n"/>
      <c r="B279" s="15" t="n"/>
      <c r="C279" s="15" t="n"/>
      <c r="D279" s="15" t="n"/>
      <c r="E279" s="15" t="n"/>
      <c r="F279" s="15" t="n"/>
      <c r="G279" s="15" t="n"/>
      <c r="H279" s="15" t="n"/>
      <c r="I279" s="15" t="n"/>
    </row>
    <row r="280" ht="15.75" customHeight="1" s="48">
      <c r="A280" s="15" t="n"/>
      <c r="B280" s="15" t="n"/>
      <c r="C280" s="15" t="n"/>
      <c r="D280" s="15" t="n"/>
      <c r="E280" s="15" t="n"/>
      <c r="F280" s="15" t="n"/>
      <c r="G280" s="15" t="n"/>
      <c r="H280" s="15" t="n"/>
      <c r="I280" s="15" t="n"/>
    </row>
    <row r="281" ht="15.75" customHeight="1" s="48">
      <c r="A281" s="15" t="n"/>
      <c r="B281" s="15" t="n"/>
      <c r="C281" s="15" t="n"/>
      <c r="D281" s="15" t="n"/>
      <c r="E281" s="15" t="n"/>
      <c r="F281" s="15" t="n"/>
      <c r="G281" s="15" t="n"/>
      <c r="H281" s="15" t="n"/>
      <c r="I281" s="15" t="n"/>
    </row>
    <row r="282" ht="15.75" customHeight="1" s="48">
      <c r="A282" s="15" t="n"/>
      <c r="B282" s="15" t="n"/>
      <c r="C282" s="15" t="n"/>
      <c r="D282" s="15" t="n"/>
      <c r="E282" s="15" t="n"/>
      <c r="F282" s="15" t="n"/>
      <c r="G282" s="15" t="n"/>
      <c r="H282" s="15" t="n"/>
      <c r="I282" s="15" t="n"/>
    </row>
    <row r="283" ht="15.75" customHeight="1" s="48">
      <c r="A283" s="15" t="n"/>
      <c r="B283" s="15" t="n"/>
      <c r="C283" s="15" t="n"/>
      <c r="D283" s="15" t="n"/>
      <c r="E283" s="15" t="n"/>
      <c r="F283" s="15" t="n"/>
      <c r="G283" s="15" t="n"/>
      <c r="H283" s="15" t="n"/>
      <c r="I283" s="15" t="n"/>
    </row>
    <row r="284" ht="15.75" customHeight="1" s="48">
      <c r="A284" s="15" t="n"/>
      <c r="B284" s="15" t="n"/>
      <c r="C284" s="15" t="n"/>
      <c r="D284" s="15" t="n"/>
      <c r="E284" s="15" t="n"/>
      <c r="F284" s="15" t="n"/>
      <c r="G284" s="15" t="n"/>
      <c r="H284" s="15" t="n"/>
      <c r="I284" s="15" t="n"/>
    </row>
    <row r="285" ht="15.75" customHeight="1" s="48">
      <c r="A285" s="15" t="n"/>
      <c r="B285" s="15" t="n"/>
      <c r="C285" s="15" t="n"/>
      <c r="D285" s="15" t="n"/>
      <c r="E285" s="15" t="n"/>
      <c r="F285" s="15" t="n"/>
      <c r="G285" s="15" t="n"/>
      <c r="H285" s="15" t="n"/>
      <c r="I285" s="15" t="n"/>
    </row>
    <row r="286" ht="15.75" customHeight="1" s="48">
      <c r="A286" s="15" t="n"/>
      <c r="B286" s="15" t="n"/>
      <c r="C286" s="15" t="n"/>
      <c r="D286" s="15" t="n"/>
      <c r="E286" s="15" t="n"/>
      <c r="F286" s="15" t="n"/>
      <c r="G286" s="15" t="n"/>
      <c r="H286" s="15" t="n"/>
      <c r="I286" s="15" t="n"/>
    </row>
    <row r="287" ht="15.75" customHeight="1" s="48">
      <c r="A287" s="15" t="n"/>
      <c r="B287" s="15" t="n"/>
      <c r="C287" s="15" t="n"/>
      <c r="D287" s="15" t="n"/>
      <c r="E287" s="15" t="n"/>
      <c r="F287" s="15" t="n"/>
      <c r="G287" s="15" t="n"/>
      <c r="H287" s="15" t="n"/>
      <c r="I287" s="15" t="n"/>
    </row>
    <row r="288" ht="15.75" customHeight="1" s="48">
      <c r="A288" s="15" t="n"/>
      <c r="B288" s="15" t="n"/>
      <c r="C288" s="15" t="n"/>
      <c r="D288" s="15" t="n"/>
      <c r="E288" s="15" t="n"/>
      <c r="F288" s="15" t="n"/>
      <c r="G288" s="15" t="n"/>
      <c r="H288" s="15" t="n"/>
      <c r="I288" s="15" t="n"/>
    </row>
    <row r="289" ht="15.75" customHeight="1" s="48">
      <c r="A289" s="15" t="n"/>
      <c r="B289" s="15" t="n"/>
      <c r="C289" s="15" t="n"/>
      <c r="D289" s="15" t="n"/>
      <c r="E289" s="15" t="n"/>
      <c r="F289" s="15" t="n"/>
      <c r="G289" s="15" t="n"/>
      <c r="H289" s="15" t="n"/>
      <c r="I289" s="15" t="n"/>
    </row>
    <row r="290" ht="15.75" customHeight="1" s="48">
      <c r="A290" s="15" t="n"/>
      <c r="B290" s="15" t="n"/>
      <c r="C290" s="15" t="n"/>
      <c r="D290" s="15" t="n"/>
      <c r="E290" s="15" t="n"/>
      <c r="F290" s="15" t="n"/>
      <c r="G290" s="15" t="n"/>
      <c r="H290" s="15" t="n"/>
      <c r="I290" s="15" t="n"/>
    </row>
    <row r="291" ht="15.75" customHeight="1" s="48">
      <c r="A291" s="15" t="n"/>
      <c r="B291" s="15" t="n"/>
      <c r="C291" s="15" t="n"/>
      <c r="D291" s="15" t="n"/>
      <c r="E291" s="15" t="n"/>
      <c r="F291" s="15" t="n"/>
      <c r="G291" s="15" t="n"/>
      <c r="H291" s="15" t="n"/>
      <c r="I291" s="15" t="n"/>
    </row>
    <row r="292" ht="15.75" customHeight="1" s="48">
      <c r="A292" s="15" t="n"/>
      <c r="B292" s="15" t="n"/>
      <c r="C292" s="15" t="n"/>
      <c r="D292" s="15" t="n"/>
      <c r="E292" s="15" t="n"/>
      <c r="F292" s="15" t="n"/>
      <c r="G292" s="15" t="n"/>
      <c r="H292" s="15" t="n"/>
      <c r="I292" s="15" t="n"/>
    </row>
    <row r="293" ht="15.75" customHeight="1" s="48">
      <c r="A293" s="15" t="n"/>
      <c r="B293" s="15" t="n"/>
      <c r="C293" s="15" t="n"/>
      <c r="D293" s="15" t="n"/>
      <c r="E293" s="15" t="n"/>
      <c r="F293" s="15" t="n"/>
      <c r="G293" s="15" t="n"/>
      <c r="H293" s="15" t="n"/>
      <c r="I293" s="15" t="n"/>
    </row>
    <row r="294" ht="15.75" customHeight="1" s="48">
      <c r="A294" s="15" t="n"/>
      <c r="B294" s="15" t="n"/>
      <c r="C294" s="15" t="n"/>
      <c r="D294" s="15" t="n"/>
      <c r="E294" s="15" t="n"/>
      <c r="F294" s="15" t="n"/>
      <c r="G294" s="15" t="n"/>
      <c r="H294" s="15" t="n"/>
      <c r="I294" s="15" t="n"/>
    </row>
    <row r="295" ht="15.75" customHeight="1" s="48">
      <c r="A295" s="15" t="n"/>
      <c r="B295" s="15" t="n"/>
      <c r="C295" s="15" t="n"/>
      <c r="D295" s="15" t="n"/>
      <c r="E295" s="15" t="n"/>
      <c r="F295" s="15" t="n"/>
      <c r="G295" s="15" t="n"/>
      <c r="H295" s="15" t="n"/>
      <c r="I295" s="15" t="n"/>
    </row>
    <row r="296" ht="15.75" customHeight="1" s="48">
      <c r="A296" s="15" t="n"/>
      <c r="B296" s="15" t="n"/>
      <c r="C296" s="15" t="n"/>
      <c r="D296" s="15" t="n"/>
      <c r="E296" s="15" t="n"/>
      <c r="F296" s="15" t="n"/>
      <c r="G296" s="15" t="n"/>
      <c r="H296" s="15" t="n"/>
      <c r="I296" s="15" t="n"/>
    </row>
    <row r="297" ht="15.75" customHeight="1" s="48">
      <c r="A297" s="15" t="n"/>
      <c r="B297" s="15" t="n"/>
      <c r="C297" s="15" t="n"/>
      <c r="D297" s="15" t="n"/>
      <c r="E297" s="15" t="n"/>
      <c r="F297" s="15" t="n"/>
      <c r="G297" s="15" t="n"/>
      <c r="H297" s="15" t="n"/>
      <c r="I297" s="15" t="n"/>
    </row>
    <row r="298" ht="15.75" customHeight="1" s="48">
      <c r="A298" s="15" t="n"/>
      <c r="B298" s="15" t="n"/>
      <c r="C298" s="15" t="n"/>
      <c r="D298" s="15" t="n"/>
      <c r="E298" s="15" t="n"/>
      <c r="F298" s="15" t="n"/>
      <c r="G298" s="15" t="n"/>
      <c r="H298" s="15" t="n"/>
      <c r="I298" s="15" t="n"/>
    </row>
    <row r="299" ht="15.75" customHeight="1" s="48">
      <c r="A299" s="15" t="n"/>
      <c r="B299" s="15" t="n"/>
      <c r="C299" s="15" t="n"/>
      <c r="D299" s="15" t="n"/>
      <c r="E299" s="15" t="n"/>
      <c r="F299" s="15" t="n"/>
      <c r="G299" s="15" t="n"/>
      <c r="H299" s="15" t="n"/>
      <c r="I299" s="15" t="n"/>
    </row>
    <row r="300" ht="15.75" customHeight="1" s="48">
      <c r="A300" s="15" t="n"/>
      <c r="B300" s="15" t="n"/>
      <c r="C300" s="15" t="n"/>
      <c r="D300" s="15" t="n"/>
      <c r="E300" s="15" t="n"/>
      <c r="F300" s="15" t="n"/>
      <c r="G300" s="15" t="n"/>
      <c r="H300" s="15" t="n"/>
      <c r="I300" s="15" t="n"/>
    </row>
    <row r="301" ht="15.75" customHeight="1" s="48">
      <c r="A301" s="15" t="n"/>
      <c r="B301" s="15" t="n"/>
      <c r="C301" s="15" t="n"/>
      <c r="D301" s="15" t="n"/>
      <c r="E301" s="15" t="n"/>
      <c r="F301" s="15" t="n"/>
      <c r="G301" s="15" t="n"/>
      <c r="H301" s="15" t="n"/>
      <c r="I301" s="15" t="n"/>
    </row>
    <row r="302" ht="15.75" customHeight="1" s="48">
      <c r="A302" s="15" t="n"/>
      <c r="B302" s="15" t="n"/>
      <c r="C302" s="15" t="n"/>
      <c r="D302" s="15" t="n"/>
      <c r="E302" s="15" t="n"/>
      <c r="F302" s="15" t="n"/>
      <c r="G302" s="15" t="n"/>
      <c r="H302" s="15" t="n"/>
      <c r="I302" s="15" t="n"/>
    </row>
    <row r="303" ht="15.75" customHeight="1" s="48">
      <c r="A303" s="15" t="n"/>
      <c r="B303" s="15" t="n"/>
      <c r="C303" s="15" t="n"/>
      <c r="D303" s="15" t="n"/>
      <c r="E303" s="15" t="n"/>
      <c r="F303" s="15" t="n"/>
      <c r="G303" s="15" t="n"/>
      <c r="H303" s="15" t="n"/>
      <c r="I303" s="15" t="n"/>
    </row>
    <row r="304" ht="15.75" customHeight="1" s="48">
      <c r="A304" s="15" t="n"/>
      <c r="B304" s="15" t="n"/>
      <c r="C304" s="15" t="n"/>
      <c r="D304" s="15" t="n"/>
      <c r="E304" s="15" t="n"/>
      <c r="F304" s="15" t="n"/>
      <c r="G304" s="15" t="n"/>
      <c r="H304" s="15" t="n"/>
      <c r="I304" s="15" t="n"/>
    </row>
    <row r="305" ht="15.75" customHeight="1" s="48">
      <c r="A305" s="15" t="n"/>
      <c r="B305" s="15" t="n"/>
      <c r="C305" s="15" t="n"/>
      <c r="D305" s="15" t="n"/>
      <c r="E305" s="15" t="n"/>
      <c r="F305" s="15" t="n"/>
      <c r="G305" s="15" t="n"/>
      <c r="H305" s="15" t="n"/>
      <c r="I305" s="15" t="n"/>
    </row>
    <row r="306" ht="15.75" customHeight="1" s="48">
      <c r="A306" s="15" t="n"/>
      <c r="B306" s="15" t="n"/>
      <c r="C306" s="15" t="n"/>
      <c r="D306" s="15" t="n"/>
      <c r="E306" s="15" t="n"/>
      <c r="F306" s="15" t="n"/>
      <c r="G306" s="15" t="n"/>
      <c r="H306" s="15" t="n"/>
      <c r="I306" s="15" t="n"/>
    </row>
    <row r="307" ht="15.75" customHeight="1" s="48">
      <c r="A307" s="15" t="n"/>
      <c r="B307" s="15" t="n"/>
      <c r="C307" s="15" t="n"/>
      <c r="D307" s="15" t="n"/>
      <c r="E307" s="15" t="n"/>
      <c r="F307" s="15" t="n"/>
      <c r="G307" s="15" t="n"/>
      <c r="H307" s="15" t="n"/>
      <c r="I307" s="15" t="n"/>
    </row>
    <row r="308" ht="15.75" customHeight="1" s="48">
      <c r="A308" s="15" t="n"/>
      <c r="B308" s="15" t="n"/>
      <c r="C308" s="15" t="n"/>
      <c r="D308" s="15" t="n"/>
      <c r="E308" s="15" t="n"/>
      <c r="F308" s="15" t="n"/>
      <c r="G308" s="15" t="n"/>
      <c r="H308" s="15" t="n"/>
      <c r="I308" s="15" t="n"/>
    </row>
    <row r="309" ht="15.75" customHeight="1" s="48">
      <c r="A309" s="15" t="n"/>
      <c r="B309" s="15" t="n"/>
      <c r="C309" s="15" t="n"/>
      <c r="D309" s="15" t="n"/>
      <c r="E309" s="15" t="n"/>
      <c r="F309" s="15" t="n"/>
      <c r="G309" s="15" t="n"/>
      <c r="H309" s="15" t="n"/>
      <c r="I309" s="15" t="n"/>
    </row>
    <row r="310" ht="15.75" customHeight="1" s="48">
      <c r="A310" s="15" t="n"/>
      <c r="B310" s="15" t="n"/>
      <c r="C310" s="15" t="n"/>
      <c r="D310" s="15" t="n"/>
      <c r="E310" s="15" t="n"/>
      <c r="F310" s="15" t="n"/>
      <c r="G310" s="15" t="n"/>
      <c r="H310" s="15" t="n"/>
      <c r="I310" s="15" t="n"/>
    </row>
    <row r="311" ht="15.75" customHeight="1" s="48">
      <c r="A311" s="15" t="n"/>
      <c r="B311" s="15" t="n"/>
      <c r="C311" s="15" t="n"/>
      <c r="D311" s="15" t="n"/>
      <c r="E311" s="15" t="n"/>
      <c r="F311" s="15" t="n"/>
      <c r="G311" s="15" t="n"/>
      <c r="H311" s="15" t="n"/>
      <c r="I311" s="15" t="n"/>
    </row>
    <row r="312" ht="15.75" customHeight="1" s="48">
      <c r="A312" s="15" t="n"/>
      <c r="B312" s="15" t="n"/>
      <c r="C312" s="15" t="n"/>
      <c r="D312" s="15" t="n"/>
      <c r="E312" s="15" t="n"/>
      <c r="F312" s="15" t="n"/>
      <c r="G312" s="15" t="n"/>
      <c r="H312" s="15" t="n"/>
      <c r="I312" s="15" t="n"/>
    </row>
    <row r="313" ht="15.75" customHeight="1" s="48">
      <c r="A313" s="15" t="n"/>
      <c r="B313" s="15" t="n"/>
      <c r="C313" s="15" t="n"/>
      <c r="D313" s="15" t="n"/>
      <c r="E313" s="15" t="n"/>
      <c r="F313" s="15" t="n"/>
      <c r="G313" s="15" t="n"/>
      <c r="H313" s="15" t="n"/>
      <c r="I313" s="15" t="n"/>
    </row>
    <row r="314" ht="15.75" customHeight="1" s="48">
      <c r="A314" s="15" t="n"/>
      <c r="B314" s="15" t="n"/>
      <c r="C314" s="15" t="n"/>
      <c r="D314" s="15" t="n"/>
      <c r="E314" s="15" t="n"/>
      <c r="F314" s="15" t="n"/>
      <c r="G314" s="15" t="n"/>
      <c r="H314" s="15" t="n"/>
      <c r="I314" s="15" t="n"/>
    </row>
    <row r="315" ht="15.75" customHeight="1" s="48">
      <c r="A315" s="15" t="n"/>
      <c r="B315" s="15" t="n"/>
      <c r="C315" s="15" t="n"/>
      <c r="D315" s="15" t="n"/>
      <c r="E315" s="15" t="n"/>
      <c r="F315" s="15" t="n"/>
      <c r="G315" s="15" t="n"/>
      <c r="H315" s="15" t="n"/>
      <c r="I315" s="15" t="n"/>
    </row>
    <row r="316" ht="15.75" customHeight="1" s="48">
      <c r="A316" s="15" t="n"/>
      <c r="B316" s="15" t="n"/>
      <c r="C316" s="15" t="n"/>
      <c r="D316" s="15" t="n"/>
      <c r="E316" s="15" t="n"/>
      <c r="F316" s="15" t="n"/>
      <c r="G316" s="15" t="n"/>
      <c r="H316" s="15" t="n"/>
      <c r="I316" s="15" t="n"/>
    </row>
    <row r="317" ht="15.75" customHeight="1" s="48">
      <c r="A317" s="15" t="n"/>
      <c r="B317" s="15" t="n"/>
      <c r="C317" s="15" t="n"/>
      <c r="D317" s="15" t="n"/>
      <c r="E317" s="15" t="n"/>
      <c r="F317" s="15" t="n"/>
      <c r="G317" s="15" t="n"/>
      <c r="H317" s="15" t="n"/>
      <c r="I317" s="15" t="n"/>
    </row>
    <row r="318" ht="15.75" customHeight="1" s="48">
      <c r="A318" s="15" t="n"/>
      <c r="B318" s="15" t="n"/>
      <c r="C318" s="15" t="n"/>
      <c r="D318" s="15" t="n"/>
      <c r="E318" s="15" t="n"/>
      <c r="F318" s="15" t="n"/>
      <c r="G318" s="15" t="n"/>
      <c r="H318" s="15" t="n"/>
      <c r="I318" s="15" t="n"/>
    </row>
    <row r="319" ht="15.75" customHeight="1" s="48">
      <c r="A319" s="15" t="n"/>
      <c r="B319" s="15" t="n"/>
      <c r="C319" s="15" t="n"/>
      <c r="D319" s="15" t="n"/>
      <c r="E319" s="15" t="n"/>
      <c r="F319" s="15" t="n"/>
      <c r="G319" s="15" t="n"/>
      <c r="H319" s="15" t="n"/>
      <c r="I319" s="15" t="n"/>
    </row>
    <row r="320" ht="15.75" customHeight="1" s="48">
      <c r="A320" s="15" t="n"/>
      <c r="B320" s="15" t="n"/>
      <c r="C320" s="15" t="n"/>
      <c r="D320" s="15" t="n"/>
      <c r="E320" s="15" t="n"/>
      <c r="F320" s="15" t="n"/>
      <c r="G320" s="15" t="n"/>
      <c r="H320" s="15" t="n"/>
      <c r="I320" s="15" t="n"/>
    </row>
    <row r="321" ht="15.75" customHeight="1" s="48">
      <c r="A321" s="15" t="n"/>
      <c r="B321" s="15" t="n"/>
      <c r="C321" s="15" t="n"/>
      <c r="D321" s="15" t="n"/>
      <c r="E321" s="15" t="n"/>
      <c r="F321" s="15" t="n"/>
      <c r="G321" s="15" t="n"/>
      <c r="H321" s="15" t="n"/>
      <c r="I321" s="15" t="n"/>
    </row>
    <row r="322" ht="15.75" customHeight="1" s="48">
      <c r="A322" s="15" t="n"/>
      <c r="B322" s="15" t="n"/>
      <c r="C322" s="15" t="n"/>
      <c r="D322" s="15" t="n"/>
      <c r="E322" s="15" t="n"/>
      <c r="F322" s="15" t="n"/>
      <c r="G322" s="15" t="n"/>
      <c r="H322" s="15" t="n"/>
      <c r="I322" s="15" t="n"/>
    </row>
    <row r="323" ht="15.75" customHeight="1" s="48">
      <c r="A323" s="15" t="n"/>
      <c r="B323" s="15" t="n"/>
      <c r="C323" s="15" t="n"/>
      <c r="D323" s="15" t="n"/>
      <c r="E323" s="15" t="n"/>
      <c r="F323" s="15" t="n"/>
      <c r="G323" s="15" t="n"/>
      <c r="H323" s="15" t="n"/>
      <c r="I323" s="15" t="n"/>
    </row>
    <row r="324" ht="15.75" customHeight="1" s="48">
      <c r="A324" s="15" t="n"/>
      <c r="B324" s="15" t="n"/>
      <c r="C324" s="15" t="n"/>
      <c r="D324" s="15" t="n"/>
      <c r="E324" s="15" t="n"/>
      <c r="F324" s="15" t="n"/>
      <c r="G324" s="15" t="n"/>
      <c r="H324" s="15" t="n"/>
      <c r="I324" s="15" t="n"/>
    </row>
    <row r="325" ht="15.75" customHeight="1" s="48">
      <c r="A325" s="15" t="n"/>
      <c r="B325" s="15" t="n"/>
      <c r="C325" s="15" t="n"/>
      <c r="D325" s="15" t="n"/>
      <c r="E325" s="15" t="n"/>
      <c r="F325" s="15" t="n"/>
      <c r="G325" s="15" t="n"/>
      <c r="H325" s="15" t="n"/>
      <c r="I325" s="15" t="n"/>
    </row>
    <row r="326" ht="15.75" customHeight="1" s="48">
      <c r="A326" s="15" t="n"/>
      <c r="B326" s="15" t="n"/>
      <c r="C326" s="15" t="n"/>
      <c r="D326" s="15" t="n"/>
      <c r="E326" s="15" t="n"/>
      <c r="F326" s="15" t="n"/>
      <c r="G326" s="15" t="n"/>
      <c r="H326" s="15" t="n"/>
      <c r="I326" s="15" t="n"/>
    </row>
    <row r="327" ht="15.75" customHeight="1" s="48">
      <c r="A327" s="15" t="n"/>
      <c r="B327" s="15" t="n"/>
      <c r="C327" s="15" t="n"/>
      <c r="D327" s="15" t="n"/>
      <c r="E327" s="15" t="n"/>
      <c r="F327" s="15" t="n"/>
      <c r="G327" s="15" t="n"/>
      <c r="H327" s="15" t="n"/>
      <c r="I327" s="15" t="n"/>
    </row>
    <row r="328" ht="15.75" customHeight="1" s="48">
      <c r="A328" s="15" t="n"/>
      <c r="B328" s="15" t="n"/>
      <c r="C328" s="15" t="n"/>
      <c r="D328" s="15" t="n"/>
      <c r="E328" s="15" t="n"/>
      <c r="F328" s="15" t="n"/>
      <c r="G328" s="15" t="n"/>
      <c r="H328" s="15" t="n"/>
      <c r="I328" s="15" t="n"/>
    </row>
    <row r="329" ht="15.75" customHeight="1" s="48">
      <c r="A329" s="15" t="n"/>
      <c r="B329" s="15" t="n"/>
      <c r="C329" s="15" t="n"/>
      <c r="D329" s="15" t="n"/>
      <c r="E329" s="15" t="n"/>
      <c r="F329" s="15" t="n"/>
      <c r="G329" s="15" t="n"/>
      <c r="H329" s="15" t="n"/>
      <c r="I329" s="15" t="n"/>
    </row>
    <row r="330" ht="15.75" customHeight="1" s="48">
      <c r="A330" s="15" t="n"/>
      <c r="B330" s="15" t="n"/>
      <c r="C330" s="15" t="n"/>
      <c r="D330" s="15" t="n"/>
      <c r="E330" s="15" t="n"/>
      <c r="F330" s="15" t="n"/>
      <c r="G330" s="15" t="n"/>
      <c r="H330" s="15" t="n"/>
      <c r="I330" s="15" t="n"/>
    </row>
    <row r="331" ht="15.75" customHeight="1" s="48">
      <c r="A331" s="15" t="n"/>
      <c r="B331" s="15" t="n"/>
      <c r="C331" s="15" t="n"/>
      <c r="D331" s="15" t="n"/>
      <c r="E331" s="15" t="n"/>
      <c r="F331" s="15" t="n"/>
      <c r="G331" s="15" t="n"/>
      <c r="H331" s="15" t="n"/>
      <c r="I331" s="15" t="n"/>
    </row>
    <row r="332" ht="15.75" customHeight="1" s="48">
      <c r="A332" s="15" t="n"/>
      <c r="B332" s="15" t="n"/>
      <c r="C332" s="15" t="n"/>
      <c r="D332" s="15" t="n"/>
      <c r="E332" s="15" t="n"/>
      <c r="F332" s="15" t="n"/>
      <c r="G332" s="15" t="n"/>
      <c r="H332" s="15" t="n"/>
      <c r="I332" s="15" t="n"/>
    </row>
    <row r="333" ht="15.75" customHeight="1" s="48">
      <c r="A333" s="15" t="n"/>
      <c r="B333" s="15" t="n"/>
      <c r="C333" s="15" t="n"/>
      <c r="D333" s="15" t="n"/>
      <c r="E333" s="15" t="n"/>
      <c r="F333" s="15" t="n"/>
      <c r="G333" s="15" t="n"/>
      <c r="H333" s="15" t="n"/>
      <c r="I333" s="15" t="n"/>
    </row>
    <row r="334" ht="15.75" customHeight="1" s="48">
      <c r="A334" s="15" t="n"/>
      <c r="B334" s="15" t="n"/>
      <c r="C334" s="15" t="n"/>
      <c r="D334" s="15" t="n"/>
      <c r="E334" s="15" t="n"/>
      <c r="F334" s="15" t="n"/>
      <c r="G334" s="15" t="n"/>
      <c r="H334" s="15" t="n"/>
      <c r="I334" s="15" t="n"/>
    </row>
    <row r="335" ht="15.75" customHeight="1" s="48">
      <c r="A335" s="15" t="n"/>
      <c r="B335" s="15" t="n"/>
      <c r="C335" s="15" t="n"/>
      <c r="D335" s="15" t="n"/>
      <c r="E335" s="15" t="n"/>
      <c r="F335" s="15" t="n"/>
      <c r="G335" s="15" t="n"/>
      <c r="H335" s="15" t="n"/>
      <c r="I335" s="15" t="n"/>
    </row>
    <row r="336" ht="15.75" customHeight="1" s="48">
      <c r="A336" s="15" t="n"/>
      <c r="B336" s="15" t="n"/>
      <c r="C336" s="15" t="n"/>
      <c r="D336" s="15" t="n"/>
      <c r="E336" s="15" t="n"/>
      <c r="F336" s="15" t="n"/>
      <c r="G336" s="15" t="n"/>
      <c r="H336" s="15" t="n"/>
      <c r="I336" s="15" t="n"/>
    </row>
    <row r="337" ht="15.75" customHeight="1" s="48">
      <c r="A337" s="15" t="n"/>
      <c r="B337" s="15" t="n"/>
      <c r="C337" s="15" t="n"/>
      <c r="D337" s="15" t="n"/>
      <c r="E337" s="15" t="n"/>
      <c r="F337" s="15" t="n"/>
      <c r="G337" s="15" t="n"/>
      <c r="H337" s="15" t="n"/>
      <c r="I337" s="15" t="n"/>
    </row>
    <row r="338" ht="15.75" customHeight="1" s="48">
      <c r="A338" s="15" t="n"/>
      <c r="B338" s="15" t="n"/>
      <c r="C338" s="15" t="n"/>
      <c r="D338" s="15" t="n"/>
      <c r="E338" s="15" t="n"/>
      <c r="F338" s="15" t="n"/>
      <c r="G338" s="15" t="n"/>
      <c r="H338" s="15" t="n"/>
      <c r="I338" s="15" t="n"/>
    </row>
    <row r="339" ht="15.75" customHeight="1" s="48">
      <c r="A339" s="15" t="n"/>
      <c r="B339" s="15" t="n"/>
      <c r="C339" s="15" t="n"/>
      <c r="D339" s="15" t="n"/>
      <c r="E339" s="15" t="n"/>
      <c r="F339" s="15" t="n"/>
      <c r="G339" s="15" t="n"/>
      <c r="H339" s="15" t="n"/>
      <c r="I339" s="15" t="n"/>
    </row>
    <row r="340" ht="15.75" customHeight="1" s="48">
      <c r="A340" s="15" t="n"/>
      <c r="B340" s="15" t="n"/>
      <c r="C340" s="15" t="n"/>
      <c r="D340" s="15" t="n"/>
      <c r="E340" s="15" t="n"/>
      <c r="F340" s="15" t="n"/>
      <c r="G340" s="15" t="n"/>
      <c r="H340" s="15" t="n"/>
      <c r="I340" s="15" t="n"/>
    </row>
    <row r="341" ht="15.75" customHeight="1" s="48">
      <c r="A341" s="15" t="n"/>
      <c r="B341" s="15" t="n"/>
      <c r="C341" s="15" t="n"/>
      <c r="D341" s="15" t="n"/>
      <c r="E341" s="15" t="n"/>
      <c r="F341" s="15" t="n"/>
      <c r="G341" s="15" t="n"/>
      <c r="H341" s="15" t="n"/>
      <c r="I341" s="15" t="n"/>
    </row>
    <row r="342" ht="15.75" customHeight="1" s="48">
      <c r="A342" s="15" t="n"/>
      <c r="B342" s="15" t="n"/>
      <c r="C342" s="15" t="n"/>
      <c r="D342" s="15" t="n"/>
      <c r="E342" s="15" t="n"/>
      <c r="F342" s="15" t="n"/>
      <c r="G342" s="15" t="n"/>
      <c r="H342" s="15" t="n"/>
      <c r="I342" s="15" t="n"/>
    </row>
    <row r="343" ht="15.75" customHeight="1" s="48">
      <c r="A343" s="15" t="n"/>
      <c r="B343" s="15" t="n"/>
      <c r="C343" s="15" t="n"/>
      <c r="D343" s="15" t="n"/>
      <c r="E343" s="15" t="n"/>
      <c r="F343" s="15" t="n"/>
      <c r="G343" s="15" t="n"/>
      <c r="H343" s="15" t="n"/>
      <c r="I343" s="15" t="n"/>
    </row>
    <row r="344" ht="15.75" customHeight="1" s="48">
      <c r="A344" s="15" t="n"/>
      <c r="B344" s="15" t="n"/>
      <c r="C344" s="15" t="n"/>
      <c r="D344" s="15" t="n"/>
      <c r="E344" s="15" t="n"/>
      <c r="F344" s="15" t="n"/>
      <c r="G344" s="15" t="n"/>
      <c r="H344" s="15" t="n"/>
      <c r="I344" s="15" t="n"/>
    </row>
    <row r="345" ht="15.75" customHeight="1" s="48">
      <c r="A345" s="15" t="n"/>
      <c r="B345" s="15" t="n"/>
      <c r="C345" s="15" t="n"/>
      <c r="D345" s="15" t="n"/>
      <c r="E345" s="15" t="n"/>
      <c r="F345" s="15" t="n"/>
      <c r="G345" s="15" t="n"/>
      <c r="H345" s="15" t="n"/>
      <c r="I345" s="15" t="n"/>
    </row>
    <row r="346" ht="15.75" customHeight="1" s="48">
      <c r="A346" s="15" t="n"/>
      <c r="B346" s="15" t="n"/>
      <c r="C346" s="15" t="n"/>
      <c r="D346" s="15" t="n"/>
      <c r="E346" s="15" t="n"/>
      <c r="F346" s="15" t="n"/>
      <c r="G346" s="15" t="n"/>
      <c r="H346" s="15" t="n"/>
      <c r="I346" s="15" t="n"/>
    </row>
    <row r="347" ht="15.75" customHeight="1" s="48">
      <c r="A347" s="15" t="n"/>
      <c r="B347" s="15" t="n"/>
      <c r="C347" s="15" t="n"/>
      <c r="D347" s="15" t="n"/>
      <c r="E347" s="15" t="n"/>
      <c r="F347" s="15" t="n"/>
      <c r="G347" s="15" t="n"/>
      <c r="H347" s="15" t="n"/>
      <c r="I347" s="15" t="n"/>
    </row>
    <row r="348" ht="15.75" customHeight="1" s="48">
      <c r="A348" s="15" t="n"/>
      <c r="B348" s="15" t="n"/>
      <c r="C348" s="15" t="n"/>
      <c r="D348" s="15" t="n"/>
      <c r="E348" s="15" t="n"/>
      <c r="F348" s="15" t="n"/>
      <c r="G348" s="15" t="n"/>
      <c r="H348" s="15" t="n"/>
      <c r="I348" s="15" t="n"/>
    </row>
    <row r="349" ht="15.75" customHeight="1" s="48">
      <c r="A349" s="15" t="n"/>
      <c r="B349" s="15" t="n"/>
      <c r="C349" s="15" t="n"/>
      <c r="D349" s="15" t="n"/>
      <c r="E349" s="15" t="n"/>
      <c r="F349" s="15" t="n"/>
      <c r="G349" s="15" t="n"/>
      <c r="H349" s="15" t="n"/>
      <c r="I349" s="15" t="n"/>
    </row>
    <row r="350" ht="15.75" customHeight="1" s="48">
      <c r="A350" s="15" t="n"/>
      <c r="B350" s="15" t="n"/>
      <c r="C350" s="15" t="n"/>
      <c r="D350" s="15" t="n"/>
      <c r="E350" s="15" t="n"/>
      <c r="F350" s="15" t="n"/>
      <c r="G350" s="15" t="n"/>
      <c r="H350" s="15" t="n"/>
      <c r="I350" s="15" t="n"/>
    </row>
    <row r="351" ht="15.75" customHeight="1" s="48">
      <c r="A351" s="15" t="n"/>
      <c r="B351" s="15" t="n"/>
      <c r="C351" s="15" t="n"/>
      <c r="D351" s="15" t="n"/>
      <c r="E351" s="15" t="n"/>
      <c r="F351" s="15" t="n"/>
      <c r="G351" s="15" t="n"/>
      <c r="H351" s="15" t="n"/>
      <c r="I351" s="15" t="n"/>
    </row>
    <row r="352" ht="15.75" customHeight="1" s="48">
      <c r="A352" s="15" t="n"/>
      <c r="B352" s="15" t="n"/>
      <c r="C352" s="15" t="n"/>
      <c r="D352" s="15" t="n"/>
      <c r="E352" s="15" t="n"/>
      <c r="F352" s="15" t="n"/>
      <c r="G352" s="15" t="n"/>
      <c r="H352" s="15" t="n"/>
      <c r="I352" s="15" t="n"/>
    </row>
    <row r="353" ht="15.75" customHeight="1" s="48">
      <c r="A353" s="15" t="n"/>
      <c r="B353" s="15" t="n"/>
      <c r="C353" s="15" t="n"/>
      <c r="D353" s="15" t="n"/>
      <c r="E353" s="15" t="n"/>
      <c r="F353" s="15" t="n"/>
      <c r="G353" s="15" t="n"/>
      <c r="H353" s="15" t="n"/>
      <c r="I353" s="15" t="n"/>
    </row>
    <row r="354" ht="15.75" customHeight="1" s="48">
      <c r="A354" s="15" t="n"/>
      <c r="B354" s="15" t="n"/>
      <c r="C354" s="15" t="n"/>
      <c r="D354" s="15" t="n"/>
      <c r="E354" s="15" t="n"/>
      <c r="F354" s="15" t="n"/>
      <c r="G354" s="15" t="n"/>
      <c r="H354" s="15" t="n"/>
      <c r="I354" s="15" t="n"/>
    </row>
    <row r="355" ht="15.75" customHeight="1" s="48">
      <c r="A355" s="15" t="n"/>
      <c r="B355" s="15" t="n"/>
      <c r="C355" s="15" t="n"/>
      <c r="D355" s="15" t="n"/>
      <c r="E355" s="15" t="n"/>
      <c r="F355" s="15" t="n"/>
      <c r="G355" s="15" t="n"/>
      <c r="H355" s="15" t="n"/>
      <c r="I355" s="15" t="n"/>
    </row>
    <row r="356" ht="15.75" customHeight="1" s="48">
      <c r="A356" s="15" t="n"/>
      <c r="B356" s="15" t="n"/>
      <c r="C356" s="15" t="n"/>
      <c r="D356" s="15" t="n"/>
      <c r="E356" s="15" t="n"/>
      <c r="F356" s="15" t="n"/>
      <c r="G356" s="15" t="n"/>
      <c r="H356" s="15" t="n"/>
      <c r="I356" s="15" t="n"/>
    </row>
    <row r="357" ht="15.75" customHeight="1" s="48">
      <c r="A357" s="15" t="n"/>
      <c r="B357" s="15" t="n"/>
      <c r="C357" s="15" t="n"/>
      <c r="D357" s="15" t="n"/>
      <c r="E357" s="15" t="n"/>
      <c r="F357" s="15" t="n"/>
      <c r="G357" s="15" t="n"/>
      <c r="H357" s="15" t="n"/>
      <c r="I357" s="15" t="n"/>
    </row>
    <row r="358" ht="15.75" customHeight="1" s="48">
      <c r="A358" s="15" t="n"/>
      <c r="B358" s="15" t="n"/>
      <c r="C358" s="15" t="n"/>
      <c r="D358" s="15" t="n"/>
      <c r="E358" s="15" t="n"/>
      <c r="F358" s="15" t="n"/>
      <c r="G358" s="15" t="n"/>
      <c r="H358" s="15" t="n"/>
      <c r="I358" s="15" t="n"/>
    </row>
    <row r="359" ht="15.75" customHeight="1" s="48">
      <c r="A359" s="15" t="n"/>
      <c r="B359" s="15" t="n"/>
      <c r="C359" s="15" t="n"/>
      <c r="D359" s="15" t="n"/>
      <c r="E359" s="15" t="n"/>
      <c r="F359" s="15" t="n"/>
      <c r="G359" s="15" t="n"/>
      <c r="H359" s="15" t="n"/>
      <c r="I359" s="15" t="n"/>
    </row>
    <row r="360" ht="15.75" customHeight="1" s="48">
      <c r="A360" s="15" t="n"/>
      <c r="B360" s="15" t="n"/>
      <c r="C360" s="15" t="n"/>
      <c r="D360" s="15" t="n"/>
      <c r="E360" s="15" t="n"/>
      <c r="F360" s="15" t="n"/>
      <c r="G360" s="15" t="n"/>
      <c r="H360" s="15" t="n"/>
      <c r="I360" s="15" t="n"/>
    </row>
    <row r="361" ht="15.75" customHeight="1" s="48">
      <c r="A361" s="15" t="n"/>
      <c r="B361" s="15" t="n"/>
      <c r="C361" s="15" t="n"/>
      <c r="D361" s="15" t="n"/>
      <c r="E361" s="15" t="n"/>
      <c r="F361" s="15" t="n"/>
      <c r="G361" s="15" t="n"/>
      <c r="H361" s="15" t="n"/>
      <c r="I361" s="15" t="n"/>
    </row>
    <row r="362" ht="15.75" customHeight="1" s="48">
      <c r="A362" s="15" t="n"/>
      <c r="B362" s="15" t="n"/>
      <c r="C362" s="15" t="n"/>
      <c r="D362" s="15" t="n"/>
      <c r="E362" s="15" t="n"/>
      <c r="F362" s="15" t="n"/>
      <c r="G362" s="15" t="n"/>
      <c r="H362" s="15" t="n"/>
      <c r="I362" s="15" t="n"/>
    </row>
    <row r="363" ht="15.75" customHeight="1" s="48">
      <c r="A363" s="15" t="n"/>
      <c r="B363" s="15" t="n"/>
      <c r="C363" s="15" t="n"/>
      <c r="D363" s="15" t="n"/>
      <c r="E363" s="15" t="n"/>
      <c r="F363" s="15" t="n"/>
      <c r="G363" s="15" t="n"/>
      <c r="H363" s="15" t="n"/>
      <c r="I363" s="15" t="n"/>
    </row>
    <row r="364" ht="15.75" customHeight="1" s="48">
      <c r="A364" s="15" t="n"/>
      <c r="B364" s="15" t="n"/>
      <c r="C364" s="15" t="n"/>
      <c r="D364" s="15" t="n"/>
      <c r="E364" s="15" t="n"/>
      <c r="F364" s="15" t="n"/>
      <c r="G364" s="15" t="n"/>
      <c r="H364" s="15" t="n"/>
      <c r="I364" s="15" t="n"/>
    </row>
    <row r="365" ht="15.75" customHeight="1" s="48">
      <c r="A365" s="15" t="n"/>
      <c r="B365" s="15" t="n"/>
      <c r="C365" s="15" t="n"/>
      <c r="D365" s="15" t="n"/>
      <c r="E365" s="15" t="n"/>
      <c r="F365" s="15" t="n"/>
      <c r="G365" s="15" t="n"/>
      <c r="H365" s="15" t="n"/>
      <c r="I365" s="15" t="n"/>
    </row>
    <row r="366" ht="15.75" customHeight="1" s="48">
      <c r="A366" s="15" t="n"/>
      <c r="B366" s="15" t="n"/>
      <c r="C366" s="15" t="n"/>
      <c r="D366" s="15" t="n"/>
      <c r="E366" s="15" t="n"/>
      <c r="F366" s="15" t="n"/>
      <c r="G366" s="15" t="n"/>
      <c r="H366" s="15" t="n"/>
      <c r="I366" s="15" t="n"/>
    </row>
    <row r="367" ht="15.75" customHeight="1" s="48">
      <c r="A367" s="15" t="n"/>
      <c r="B367" s="15" t="n"/>
      <c r="C367" s="15" t="n"/>
      <c r="D367" s="15" t="n"/>
      <c r="E367" s="15" t="n"/>
      <c r="F367" s="15" t="n"/>
      <c r="G367" s="15" t="n"/>
      <c r="H367" s="15" t="n"/>
      <c r="I367" s="15" t="n"/>
    </row>
    <row r="368" ht="15.75" customHeight="1" s="48">
      <c r="A368" s="15" t="n"/>
      <c r="B368" s="15" t="n"/>
      <c r="C368" s="15" t="n"/>
      <c r="D368" s="15" t="n"/>
      <c r="E368" s="15" t="n"/>
      <c r="F368" s="15" t="n"/>
      <c r="G368" s="15" t="n"/>
      <c r="H368" s="15" t="n"/>
      <c r="I368" s="15" t="n"/>
    </row>
    <row r="369" ht="15.75" customHeight="1" s="48">
      <c r="A369" s="15" t="n"/>
      <c r="B369" s="15" t="n"/>
      <c r="C369" s="15" t="n"/>
      <c r="D369" s="15" t="n"/>
      <c r="E369" s="15" t="n"/>
      <c r="F369" s="15" t="n"/>
      <c r="G369" s="15" t="n"/>
      <c r="H369" s="15" t="n"/>
      <c r="I369" s="15" t="n"/>
    </row>
    <row r="370" ht="15.75" customHeight="1" s="48">
      <c r="A370" s="15" t="n"/>
      <c r="B370" s="15" t="n"/>
      <c r="C370" s="15" t="n"/>
      <c r="D370" s="15" t="n"/>
      <c r="E370" s="15" t="n"/>
      <c r="F370" s="15" t="n"/>
      <c r="G370" s="15" t="n"/>
      <c r="H370" s="15" t="n"/>
      <c r="I370" s="15" t="n"/>
    </row>
    <row r="371" ht="15.75" customHeight="1" s="48">
      <c r="A371" s="15" t="n"/>
      <c r="B371" s="15" t="n"/>
      <c r="C371" s="15" t="n"/>
      <c r="D371" s="15" t="n"/>
      <c r="E371" s="15" t="n"/>
      <c r="F371" s="15" t="n"/>
      <c r="G371" s="15" t="n"/>
      <c r="H371" s="15" t="n"/>
      <c r="I371" s="15" t="n"/>
    </row>
    <row r="372" ht="15.75" customHeight="1" s="48">
      <c r="A372" s="15" t="n"/>
      <c r="B372" s="15" t="n"/>
      <c r="C372" s="15" t="n"/>
      <c r="D372" s="15" t="n"/>
      <c r="E372" s="15" t="n"/>
      <c r="F372" s="15" t="n"/>
      <c r="G372" s="15" t="n"/>
      <c r="H372" s="15" t="n"/>
      <c r="I372" s="15" t="n"/>
    </row>
    <row r="373" ht="15.75" customHeight="1" s="48">
      <c r="A373" s="15" t="n"/>
      <c r="B373" s="15" t="n"/>
      <c r="C373" s="15" t="n"/>
      <c r="D373" s="15" t="n"/>
      <c r="E373" s="15" t="n"/>
      <c r="F373" s="15" t="n"/>
      <c r="G373" s="15" t="n"/>
      <c r="H373" s="15" t="n"/>
      <c r="I373" s="15" t="n"/>
    </row>
    <row r="374" ht="15.75" customHeight="1" s="48">
      <c r="A374" s="15" t="n"/>
      <c r="B374" s="15" t="n"/>
      <c r="C374" s="15" t="n"/>
      <c r="D374" s="15" t="n"/>
      <c r="E374" s="15" t="n"/>
      <c r="F374" s="15" t="n"/>
      <c r="G374" s="15" t="n"/>
      <c r="H374" s="15" t="n"/>
      <c r="I374" s="15" t="n"/>
    </row>
    <row r="375" ht="15.75" customHeight="1" s="48">
      <c r="A375" s="15" t="n"/>
      <c r="B375" s="15" t="n"/>
      <c r="C375" s="15" t="n"/>
      <c r="D375" s="15" t="n"/>
      <c r="E375" s="15" t="n"/>
      <c r="F375" s="15" t="n"/>
      <c r="G375" s="15" t="n"/>
      <c r="H375" s="15" t="n"/>
      <c r="I375" s="15" t="n"/>
    </row>
    <row r="376" ht="15.75" customHeight="1" s="48">
      <c r="A376" s="15" t="n"/>
      <c r="B376" s="15" t="n"/>
      <c r="C376" s="15" t="n"/>
      <c r="D376" s="15" t="n"/>
      <c r="E376" s="15" t="n"/>
      <c r="F376" s="15" t="n"/>
      <c r="G376" s="15" t="n"/>
      <c r="H376" s="15" t="n"/>
      <c r="I376" s="15" t="n"/>
    </row>
    <row r="377" ht="15.75" customHeight="1" s="48">
      <c r="A377" s="15" t="n"/>
      <c r="B377" s="15" t="n"/>
      <c r="C377" s="15" t="n"/>
      <c r="D377" s="15" t="n"/>
      <c r="E377" s="15" t="n"/>
      <c r="F377" s="15" t="n"/>
      <c r="G377" s="15" t="n"/>
      <c r="H377" s="15" t="n"/>
      <c r="I377" s="15" t="n"/>
    </row>
    <row r="378" ht="15.75" customHeight="1" s="48">
      <c r="A378" s="15" t="n"/>
      <c r="B378" s="15" t="n"/>
      <c r="C378" s="15" t="n"/>
      <c r="D378" s="15" t="n"/>
      <c r="E378" s="15" t="n"/>
      <c r="F378" s="15" t="n"/>
      <c r="G378" s="15" t="n"/>
      <c r="H378" s="15" t="n"/>
      <c r="I378" s="15" t="n"/>
    </row>
    <row r="379" ht="15.75" customHeight="1" s="48">
      <c r="A379" s="15" t="n"/>
      <c r="B379" s="15" t="n"/>
      <c r="C379" s="15" t="n"/>
      <c r="D379" s="15" t="n"/>
      <c r="E379" s="15" t="n"/>
      <c r="F379" s="15" t="n"/>
      <c r="G379" s="15" t="n"/>
      <c r="H379" s="15" t="n"/>
      <c r="I379" s="15" t="n"/>
    </row>
    <row r="380" ht="15.75" customHeight="1" s="48">
      <c r="A380" s="15" t="n"/>
      <c r="B380" s="15" t="n"/>
      <c r="C380" s="15" t="n"/>
      <c r="D380" s="15" t="n"/>
      <c r="E380" s="15" t="n"/>
      <c r="F380" s="15" t="n"/>
      <c r="G380" s="15" t="n"/>
      <c r="H380" s="15" t="n"/>
      <c r="I380" s="15" t="n"/>
    </row>
    <row r="381" ht="15.75" customHeight="1" s="48">
      <c r="A381" s="15" t="n"/>
      <c r="B381" s="15" t="n"/>
      <c r="C381" s="15" t="n"/>
      <c r="D381" s="15" t="n"/>
      <c r="E381" s="15" t="n"/>
      <c r="F381" s="15" t="n"/>
      <c r="G381" s="15" t="n"/>
      <c r="H381" s="15" t="n"/>
      <c r="I381" s="15" t="n"/>
    </row>
    <row r="382" ht="15.75" customHeight="1" s="48">
      <c r="A382" s="15" t="n"/>
      <c r="B382" s="15" t="n"/>
      <c r="C382" s="15" t="n"/>
      <c r="D382" s="15" t="n"/>
      <c r="E382" s="15" t="n"/>
      <c r="F382" s="15" t="n"/>
      <c r="G382" s="15" t="n"/>
      <c r="H382" s="15" t="n"/>
      <c r="I382" s="15" t="n"/>
    </row>
    <row r="383" ht="15.75" customHeight="1" s="48">
      <c r="A383" s="15" t="n"/>
      <c r="B383" s="15" t="n"/>
      <c r="C383" s="15" t="n"/>
      <c r="D383" s="15" t="n"/>
      <c r="E383" s="15" t="n"/>
      <c r="F383" s="15" t="n"/>
      <c r="G383" s="15" t="n"/>
      <c r="H383" s="15" t="n"/>
      <c r="I383" s="15" t="n"/>
    </row>
    <row r="384" ht="15.75" customHeight="1" s="48">
      <c r="A384" s="15" t="n"/>
      <c r="B384" s="15" t="n"/>
      <c r="C384" s="15" t="n"/>
      <c r="D384" s="15" t="n"/>
      <c r="E384" s="15" t="n"/>
      <c r="F384" s="15" t="n"/>
      <c r="G384" s="15" t="n"/>
      <c r="H384" s="15" t="n"/>
      <c r="I384" s="15" t="n"/>
    </row>
    <row r="385" ht="15.75" customHeight="1" s="48">
      <c r="A385" s="15" t="n"/>
      <c r="B385" s="15" t="n"/>
      <c r="C385" s="15" t="n"/>
      <c r="D385" s="15" t="n"/>
      <c r="E385" s="15" t="n"/>
      <c r="F385" s="15" t="n"/>
      <c r="G385" s="15" t="n"/>
      <c r="H385" s="15" t="n"/>
      <c r="I385" s="15" t="n"/>
    </row>
    <row r="386" ht="15.75" customHeight="1" s="48">
      <c r="A386" s="15" t="n"/>
      <c r="B386" s="15" t="n"/>
      <c r="C386" s="15" t="n"/>
      <c r="D386" s="15" t="n"/>
      <c r="E386" s="15" t="n"/>
      <c r="F386" s="15" t="n"/>
      <c r="G386" s="15" t="n"/>
      <c r="H386" s="15" t="n"/>
      <c r="I386" s="15" t="n"/>
    </row>
    <row r="387" ht="15.75" customHeight="1" s="48">
      <c r="A387" s="15" t="n"/>
      <c r="B387" s="15" t="n"/>
      <c r="C387" s="15" t="n"/>
      <c r="D387" s="15" t="n"/>
      <c r="E387" s="15" t="n"/>
      <c r="F387" s="15" t="n"/>
      <c r="G387" s="15" t="n"/>
      <c r="H387" s="15" t="n"/>
      <c r="I387" s="15" t="n"/>
    </row>
    <row r="388" ht="15.75" customHeight="1" s="48">
      <c r="A388" s="15" t="n"/>
      <c r="B388" s="15" t="n"/>
      <c r="C388" s="15" t="n"/>
      <c r="D388" s="15" t="n"/>
      <c r="E388" s="15" t="n"/>
      <c r="F388" s="15" t="n"/>
      <c r="G388" s="15" t="n"/>
      <c r="H388" s="15" t="n"/>
      <c r="I388" s="15" t="n"/>
    </row>
    <row r="389" ht="15.75" customHeight="1" s="48">
      <c r="A389" s="15" t="n"/>
      <c r="B389" s="15" t="n"/>
      <c r="C389" s="15" t="n"/>
      <c r="D389" s="15" t="n"/>
      <c r="E389" s="15" t="n"/>
      <c r="F389" s="15" t="n"/>
      <c r="G389" s="15" t="n"/>
      <c r="H389" s="15" t="n"/>
      <c r="I389" s="15" t="n"/>
    </row>
    <row r="390" ht="15.75" customHeight="1" s="48">
      <c r="A390" s="15" t="n"/>
      <c r="B390" s="15" t="n"/>
      <c r="C390" s="15" t="n"/>
      <c r="D390" s="15" t="n"/>
      <c r="E390" s="15" t="n"/>
      <c r="F390" s="15" t="n"/>
      <c r="G390" s="15" t="n"/>
      <c r="H390" s="15" t="n"/>
      <c r="I390" s="15" t="n"/>
    </row>
    <row r="391" ht="15.75" customHeight="1" s="48">
      <c r="A391" s="15" t="n"/>
      <c r="B391" s="15" t="n"/>
      <c r="C391" s="15" t="n"/>
      <c r="D391" s="15" t="n"/>
      <c r="E391" s="15" t="n"/>
      <c r="F391" s="15" t="n"/>
      <c r="G391" s="15" t="n"/>
      <c r="H391" s="15" t="n"/>
      <c r="I391" s="15" t="n"/>
    </row>
    <row r="392" ht="15.75" customHeight="1" s="48">
      <c r="A392" s="15" t="n"/>
      <c r="B392" s="15" t="n"/>
      <c r="C392" s="15" t="n"/>
      <c r="D392" s="15" t="n"/>
      <c r="E392" s="15" t="n"/>
      <c r="F392" s="15" t="n"/>
      <c r="G392" s="15" t="n"/>
      <c r="H392" s="15" t="n"/>
      <c r="I392" s="15" t="n"/>
    </row>
    <row r="393" ht="15.75" customHeight="1" s="48">
      <c r="A393" s="15" t="n"/>
      <c r="B393" s="15" t="n"/>
      <c r="C393" s="15" t="n"/>
      <c r="D393" s="15" t="n"/>
      <c r="E393" s="15" t="n"/>
      <c r="F393" s="15" t="n"/>
      <c r="G393" s="15" t="n"/>
      <c r="H393" s="15" t="n"/>
      <c r="I393" s="15" t="n"/>
    </row>
    <row r="394" ht="15.75" customHeight="1" s="48">
      <c r="A394" s="15" t="n"/>
      <c r="B394" s="15" t="n"/>
      <c r="C394" s="15" t="n"/>
      <c r="D394" s="15" t="n"/>
      <c r="E394" s="15" t="n"/>
      <c r="F394" s="15" t="n"/>
      <c r="G394" s="15" t="n"/>
      <c r="H394" s="15" t="n"/>
      <c r="I394" s="15" t="n"/>
    </row>
    <row r="395" ht="15.75" customHeight="1" s="48">
      <c r="A395" s="15" t="n"/>
      <c r="B395" s="15" t="n"/>
      <c r="C395" s="15" t="n"/>
      <c r="D395" s="15" t="n"/>
      <c r="E395" s="15" t="n"/>
      <c r="F395" s="15" t="n"/>
      <c r="G395" s="15" t="n"/>
      <c r="H395" s="15" t="n"/>
      <c r="I395" s="15" t="n"/>
    </row>
    <row r="396" ht="15.75" customHeight="1" s="48">
      <c r="A396" s="15" t="n"/>
      <c r="B396" s="15" t="n"/>
      <c r="C396" s="15" t="n"/>
      <c r="D396" s="15" t="n"/>
      <c r="E396" s="15" t="n"/>
      <c r="F396" s="15" t="n"/>
      <c r="G396" s="15" t="n"/>
      <c r="H396" s="15" t="n"/>
      <c r="I396" s="15" t="n"/>
    </row>
    <row r="397" ht="15.75" customHeight="1" s="48">
      <c r="A397" s="15" t="n"/>
      <c r="B397" s="15" t="n"/>
      <c r="C397" s="15" t="n"/>
      <c r="D397" s="15" t="n"/>
      <c r="E397" s="15" t="n"/>
      <c r="F397" s="15" t="n"/>
      <c r="G397" s="15" t="n"/>
      <c r="H397" s="15" t="n"/>
      <c r="I397" s="15" t="n"/>
    </row>
    <row r="398" ht="15.75" customHeight="1" s="48">
      <c r="A398" s="15" t="n"/>
      <c r="B398" s="15" t="n"/>
      <c r="C398" s="15" t="n"/>
      <c r="D398" s="15" t="n"/>
      <c r="E398" s="15" t="n"/>
      <c r="F398" s="15" t="n"/>
      <c r="G398" s="15" t="n"/>
      <c r="H398" s="15" t="n"/>
      <c r="I398" s="15" t="n"/>
    </row>
    <row r="399" ht="15.75" customHeight="1" s="48">
      <c r="A399" s="15" t="n"/>
      <c r="B399" s="15" t="n"/>
      <c r="C399" s="15" t="n"/>
      <c r="D399" s="15" t="n"/>
      <c r="E399" s="15" t="n"/>
      <c r="F399" s="15" t="n"/>
      <c r="G399" s="15" t="n"/>
      <c r="H399" s="15" t="n"/>
      <c r="I399" s="15" t="n"/>
    </row>
    <row r="400" ht="15.75" customHeight="1" s="48">
      <c r="A400" s="15" t="n"/>
      <c r="B400" s="15" t="n"/>
      <c r="C400" s="15" t="n"/>
      <c r="D400" s="15" t="n"/>
      <c r="E400" s="15" t="n"/>
      <c r="F400" s="15" t="n"/>
      <c r="G400" s="15" t="n"/>
      <c r="H400" s="15" t="n"/>
      <c r="I400" s="15" t="n"/>
    </row>
    <row r="401" ht="15.75" customHeight="1" s="48">
      <c r="A401" s="15" t="n"/>
      <c r="B401" s="15" t="n"/>
      <c r="C401" s="15" t="n"/>
      <c r="D401" s="15" t="n"/>
      <c r="E401" s="15" t="n"/>
      <c r="F401" s="15" t="n"/>
      <c r="G401" s="15" t="n"/>
      <c r="H401" s="15" t="n"/>
      <c r="I401" s="15" t="n"/>
    </row>
    <row r="402" ht="15.75" customHeight="1" s="48">
      <c r="A402" s="15" t="n"/>
      <c r="B402" s="15" t="n"/>
      <c r="C402" s="15" t="n"/>
      <c r="D402" s="15" t="n"/>
      <c r="E402" s="15" t="n"/>
      <c r="F402" s="15" t="n"/>
      <c r="G402" s="15" t="n"/>
      <c r="H402" s="15" t="n"/>
      <c r="I402" s="15" t="n"/>
    </row>
    <row r="403" ht="15.75" customHeight="1" s="48">
      <c r="A403" s="15" t="n"/>
      <c r="B403" s="15" t="n"/>
      <c r="C403" s="15" t="n"/>
      <c r="D403" s="15" t="n"/>
      <c r="E403" s="15" t="n"/>
      <c r="F403" s="15" t="n"/>
      <c r="G403" s="15" t="n"/>
      <c r="H403" s="15" t="n"/>
      <c r="I403" s="15" t="n"/>
    </row>
    <row r="404" ht="15.75" customHeight="1" s="48">
      <c r="A404" s="15" t="n"/>
      <c r="B404" s="15" t="n"/>
      <c r="C404" s="15" t="n"/>
      <c r="D404" s="15" t="n"/>
      <c r="E404" s="15" t="n"/>
      <c r="F404" s="15" t="n"/>
      <c r="G404" s="15" t="n"/>
      <c r="H404" s="15" t="n"/>
      <c r="I404" s="15" t="n"/>
    </row>
    <row r="405" ht="15.75" customHeight="1" s="48">
      <c r="A405" s="15" t="n"/>
      <c r="B405" s="15" t="n"/>
      <c r="C405" s="15" t="n"/>
      <c r="D405" s="15" t="n"/>
      <c r="E405" s="15" t="n"/>
      <c r="F405" s="15" t="n"/>
      <c r="G405" s="15" t="n"/>
      <c r="H405" s="15" t="n"/>
      <c r="I405" s="15" t="n"/>
    </row>
    <row r="406" ht="15.75" customHeight="1" s="48">
      <c r="A406" s="15" t="n"/>
      <c r="B406" s="15" t="n"/>
      <c r="C406" s="15" t="n"/>
      <c r="D406" s="15" t="n"/>
      <c r="E406" s="15" t="n"/>
      <c r="F406" s="15" t="n"/>
      <c r="G406" s="15" t="n"/>
      <c r="H406" s="15" t="n"/>
      <c r="I406" s="15" t="n"/>
    </row>
    <row r="407" ht="15.75" customHeight="1" s="48">
      <c r="A407" s="15" t="n"/>
      <c r="B407" s="15" t="n"/>
      <c r="C407" s="15" t="n"/>
      <c r="D407" s="15" t="n"/>
      <c r="E407" s="15" t="n"/>
      <c r="F407" s="15" t="n"/>
      <c r="G407" s="15" t="n"/>
      <c r="H407" s="15" t="n"/>
      <c r="I407" s="15" t="n"/>
    </row>
    <row r="408" ht="15.75" customHeight="1" s="48">
      <c r="A408" s="15" t="n"/>
      <c r="B408" s="15" t="n"/>
      <c r="C408" s="15" t="n"/>
      <c r="D408" s="15" t="n"/>
      <c r="E408" s="15" t="n"/>
      <c r="F408" s="15" t="n"/>
      <c r="G408" s="15" t="n"/>
      <c r="H408" s="15" t="n"/>
      <c r="I408" s="15" t="n"/>
    </row>
    <row r="409" ht="15.75" customHeight="1" s="48">
      <c r="A409" s="15" t="n"/>
      <c r="B409" s="15" t="n"/>
      <c r="C409" s="15" t="n"/>
      <c r="D409" s="15" t="n"/>
      <c r="E409" s="15" t="n"/>
      <c r="F409" s="15" t="n"/>
      <c r="G409" s="15" t="n"/>
      <c r="H409" s="15" t="n"/>
      <c r="I409" s="15" t="n"/>
    </row>
    <row r="410" ht="15.75" customHeight="1" s="48">
      <c r="A410" s="15" t="n"/>
      <c r="B410" s="15" t="n"/>
      <c r="C410" s="15" t="n"/>
      <c r="D410" s="15" t="n"/>
      <c r="E410" s="15" t="n"/>
      <c r="F410" s="15" t="n"/>
      <c r="G410" s="15" t="n"/>
      <c r="H410" s="15" t="n"/>
      <c r="I410" s="15" t="n"/>
    </row>
    <row r="411" ht="15.75" customHeight="1" s="48">
      <c r="A411" s="15" t="n"/>
      <c r="B411" s="15" t="n"/>
      <c r="C411" s="15" t="n"/>
      <c r="D411" s="15" t="n"/>
      <c r="E411" s="15" t="n"/>
      <c r="F411" s="15" t="n"/>
      <c r="G411" s="15" t="n"/>
      <c r="H411" s="15" t="n"/>
      <c r="I411" s="15" t="n"/>
    </row>
    <row r="412" ht="15.75" customHeight="1" s="48">
      <c r="A412" s="15" t="n"/>
      <c r="B412" s="15" t="n"/>
      <c r="C412" s="15" t="n"/>
      <c r="D412" s="15" t="n"/>
      <c r="E412" s="15" t="n"/>
      <c r="F412" s="15" t="n"/>
      <c r="G412" s="15" t="n"/>
      <c r="H412" s="15" t="n"/>
      <c r="I412" s="15" t="n"/>
    </row>
    <row r="413" ht="15.75" customHeight="1" s="48">
      <c r="A413" s="15" t="n"/>
      <c r="B413" s="15" t="n"/>
      <c r="C413" s="15" t="n"/>
      <c r="D413" s="15" t="n"/>
      <c r="E413" s="15" t="n"/>
      <c r="F413" s="15" t="n"/>
      <c r="G413" s="15" t="n"/>
      <c r="H413" s="15" t="n"/>
      <c r="I413" s="15" t="n"/>
    </row>
    <row r="414" ht="15.75" customHeight="1" s="48">
      <c r="A414" s="15" t="n"/>
      <c r="B414" s="15" t="n"/>
      <c r="C414" s="15" t="n"/>
      <c r="D414" s="15" t="n"/>
      <c r="E414" s="15" t="n"/>
      <c r="F414" s="15" t="n"/>
      <c r="G414" s="15" t="n"/>
      <c r="H414" s="15" t="n"/>
      <c r="I414" s="15" t="n"/>
    </row>
    <row r="415" ht="15.75" customHeight="1" s="48">
      <c r="A415" s="15" t="n"/>
      <c r="B415" s="15" t="n"/>
      <c r="C415" s="15" t="n"/>
      <c r="D415" s="15" t="n"/>
      <c r="E415" s="15" t="n"/>
      <c r="F415" s="15" t="n"/>
      <c r="G415" s="15" t="n"/>
      <c r="H415" s="15" t="n"/>
      <c r="I415" s="15" t="n"/>
    </row>
    <row r="416" ht="15.75" customHeight="1" s="48">
      <c r="A416" s="15" t="n"/>
      <c r="B416" s="15" t="n"/>
      <c r="C416" s="15" t="n"/>
      <c r="D416" s="15" t="n"/>
      <c r="E416" s="15" t="n"/>
      <c r="F416" s="15" t="n"/>
      <c r="G416" s="15" t="n"/>
      <c r="H416" s="15" t="n"/>
      <c r="I416" s="15" t="n"/>
    </row>
    <row r="417" ht="15.75" customHeight="1" s="48">
      <c r="A417" s="15" t="n"/>
      <c r="B417" s="15" t="n"/>
      <c r="C417" s="15" t="n"/>
      <c r="D417" s="15" t="n"/>
      <c r="E417" s="15" t="n"/>
      <c r="F417" s="15" t="n"/>
      <c r="G417" s="15" t="n"/>
      <c r="H417" s="15" t="n"/>
      <c r="I417" s="15" t="n"/>
    </row>
    <row r="418" ht="15.75" customHeight="1" s="48">
      <c r="A418" s="15" t="n"/>
      <c r="B418" s="15" t="n"/>
      <c r="C418" s="15" t="n"/>
      <c r="D418" s="15" t="n"/>
      <c r="E418" s="15" t="n"/>
      <c r="F418" s="15" t="n"/>
      <c r="G418" s="15" t="n"/>
      <c r="H418" s="15" t="n"/>
      <c r="I418" s="15" t="n"/>
    </row>
    <row r="419" ht="15.75" customHeight="1" s="48">
      <c r="A419" s="15" t="n"/>
      <c r="B419" s="15" t="n"/>
      <c r="C419" s="15" t="n"/>
      <c r="D419" s="15" t="n"/>
      <c r="E419" s="15" t="n"/>
      <c r="F419" s="15" t="n"/>
      <c r="G419" s="15" t="n"/>
      <c r="H419" s="15" t="n"/>
      <c r="I419" s="15" t="n"/>
    </row>
    <row r="420" ht="15.75" customHeight="1" s="48">
      <c r="A420" s="15" t="n"/>
      <c r="B420" s="15" t="n"/>
      <c r="C420" s="15" t="n"/>
      <c r="D420" s="15" t="n"/>
      <c r="E420" s="15" t="n"/>
      <c r="F420" s="15" t="n"/>
      <c r="G420" s="15" t="n"/>
      <c r="H420" s="15" t="n"/>
      <c r="I420" s="15" t="n"/>
    </row>
    <row r="421" ht="15.75" customHeight="1" s="48">
      <c r="A421" s="15" t="n"/>
      <c r="B421" s="15" t="n"/>
      <c r="C421" s="15" t="n"/>
      <c r="D421" s="15" t="n"/>
      <c r="E421" s="15" t="n"/>
      <c r="F421" s="15" t="n"/>
      <c r="G421" s="15" t="n"/>
      <c r="H421" s="15" t="n"/>
      <c r="I421" s="15" t="n"/>
    </row>
    <row r="422" ht="15.75" customHeight="1" s="48">
      <c r="A422" s="15" t="n"/>
      <c r="B422" s="15" t="n"/>
      <c r="C422" s="15" t="n"/>
      <c r="D422" s="15" t="n"/>
      <c r="E422" s="15" t="n"/>
      <c r="F422" s="15" t="n"/>
      <c r="G422" s="15" t="n"/>
      <c r="H422" s="15" t="n"/>
      <c r="I422" s="15" t="n"/>
    </row>
    <row r="423" ht="15.75" customHeight="1" s="48">
      <c r="A423" s="15" t="n"/>
      <c r="B423" s="15" t="n"/>
      <c r="C423" s="15" t="n"/>
      <c r="D423" s="15" t="n"/>
      <c r="E423" s="15" t="n"/>
      <c r="F423" s="15" t="n"/>
      <c r="G423" s="15" t="n"/>
      <c r="H423" s="15" t="n"/>
      <c r="I423" s="15" t="n"/>
    </row>
    <row r="424" ht="15.75" customHeight="1" s="48">
      <c r="A424" s="15" t="n"/>
      <c r="B424" s="15" t="n"/>
      <c r="C424" s="15" t="n"/>
      <c r="D424" s="15" t="n"/>
      <c r="E424" s="15" t="n"/>
      <c r="F424" s="15" t="n"/>
      <c r="G424" s="15" t="n"/>
      <c r="H424" s="15" t="n"/>
      <c r="I424" s="15" t="n"/>
    </row>
    <row r="425" ht="15.75" customHeight="1" s="48">
      <c r="A425" s="15" t="n"/>
      <c r="B425" s="15" t="n"/>
      <c r="C425" s="15" t="n"/>
      <c r="D425" s="15" t="n"/>
      <c r="E425" s="15" t="n"/>
      <c r="F425" s="15" t="n"/>
      <c r="G425" s="15" t="n"/>
      <c r="H425" s="15" t="n"/>
      <c r="I425" s="15" t="n"/>
    </row>
    <row r="426" ht="15.75" customHeight="1" s="48">
      <c r="A426" s="15" t="n"/>
      <c r="B426" s="15" t="n"/>
      <c r="C426" s="15" t="n"/>
      <c r="D426" s="15" t="n"/>
      <c r="E426" s="15" t="n"/>
      <c r="F426" s="15" t="n"/>
      <c r="G426" s="15" t="n"/>
      <c r="H426" s="15" t="n"/>
      <c r="I426" s="15" t="n"/>
    </row>
    <row r="427" ht="15.75" customHeight="1" s="48">
      <c r="A427" s="15" t="n"/>
      <c r="B427" s="15" t="n"/>
      <c r="C427" s="15" t="n"/>
      <c r="D427" s="15" t="n"/>
      <c r="E427" s="15" t="n"/>
      <c r="F427" s="15" t="n"/>
      <c r="G427" s="15" t="n"/>
      <c r="H427" s="15" t="n"/>
      <c r="I427" s="15" t="n"/>
    </row>
    <row r="428" ht="15.75" customHeight="1" s="48">
      <c r="A428" s="15" t="n"/>
      <c r="B428" s="15" t="n"/>
      <c r="C428" s="15" t="n"/>
      <c r="D428" s="15" t="n"/>
      <c r="E428" s="15" t="n"/>
      <c r="F428" s="15" t="n"/>
      <c r="G428" s="15" t="n"/>
      <c r="H428" s="15" t="n"/>
      <c r="I428" s="15" t="n"/>
    </row>
    <row r="429" ht="15.75" customHeight="1" s="48">
      <c r="A429" s="15" t="n"/>
      <c r="B429" s="15" t="n"/>
      <c r="C429" s="15" t="n"/>
      <c r="D429" s="15" t="n"/>
      <c r="E429" s="15" t="n"/>
      <c r="F429" s="15" t="n"/>
      <c r="G429" s="15" t="n"/>
      <c r="H429" s="15" t="n"/>
      <c r="I429" s="15" t="n"/>
    </row>
    <row r="430" ht="15.75" customHeight="1" s="48">
      <c r="A430" s="15" t="n"/>
      <c r="B430" s="15" t="n"/>
      <c r="C430" s="15" t="n"/>
      <c r="D430" s="15" t="n"/>
      <c r="E430" s="15" t="n"/>
      <c r="F430" s="15" t="n"/>
      <c r="G430" s="15" t="n"/>
      <c r="H430" s="15" t="n"/>
      <c r="I430" s="15" t="n"/>
    </row>
    <row r="431" ht="15.75" customHeight="1" s="48">
      <c r="A431" s="15" t="n"/>
      <c r="B431" s="15" t="n"/>
      <c r="C431" s="15" t="n"/>
      <c r="D431" s="15" t="n"/>
      <c r="E431" s="15" t="n"/>
      <c r="F431" s="15" t="n"/>
      <c r="G431" s="15" t="n"/>
      <c r="H431" s="15" t="n"/>
      <c r="I431" s="15" t="n"/>
    </row>
    <row r="432" ht="15.75" customHeight="1" s="48">
      <c r="A432" s="15" t="n"/>
      <c r="B432" s="15" t="n"/>
      <c r="C432" s="15" t="n"/>
      <c r="D432" s="15" t="n"/>
      <c r="E432" s="15" t="n"/>
      <c r="F432" s="15" t="n"/>
      <c r="G432" s="15" t="n"/>
      <c r="H432" s="15" t="n"/>
      <c r="I432" s="15" t="n"/>
    </row>
    <row r="433" ht="15.75" customHeight="1" s="48">
      <c r="A433" s="15" t="n"/>
      <c r="B433" s="15" t="n"/>
      <c r="C433" s="15" t="n"/>
      <c r="D433" s="15" t="n"/>
      <c r="E433" s="15" t="n"/>
      <c r="F433" s="15" t="n"/>
      <c r="G433" s="15" t="n"/>
      <c r="H433" s="15" t="n"/>
      <c r="I433" s="15" t="n"/>
    </row>
    <row r="434" ht="15.75" customHeight="1" s="48">
      <c r="A434" s="15" t="n"/>
      <c r="B434" s="15" t="n"/>
      <c r="C434" s="15" t="n"/>
      <c r="D434" s="15" t="n"/>
      <c r="E434" s="15" t="n"/>
      <c r="F434" s="15" t="n"/>
      <c r="G434" s="15" t="n"/>
      <c r="H434" s="15" t="n"/>
      <c r="I434" s="15" t="n"/>
    </row>
    <row r="435" ht="15.75" customHeight="1" s="48">
      <c r="A435" s="15" t="n"/>
      <c r="B435" s="15" t="n"/>
      <c r="C435" s="15" t="n"/>
      <c r="D435" s="15" t="n"/>
      <c r="E435" s="15" t="n"/>
      <c r="F435" s="15" t="n"/>
      <c r="G435" s="15" t="n"/>
      <c r="H435" s="15" t="n"/>
      <c r="I435" s="15" t="n"/>
    </row>
    <row r="436" ht="15.75" customHeight="1" s="48">
      <c r="A436" s="15" t="n"/>
      <c r="B436" s="15" t="n"/>
      <c r="C436" s="15" t="n"/>
      <c r="D436" s="15" t="n"/>
      <c r="E436" s="15" t="n"/>
      <c r="F436" s="15" t="n"/>
      <c r="G436" s="15" t="n"/>
      <c r="H436" s="15" t="n"/>
      <c r="I436" s="15" t="n"/>
    </row>
    <row r="437" ht="15.75" customHeight="1" s="48">
      <c r="A437" s="15" t="n"/>
      <c r="B437" s="15" t="n"/>
      <c r="C437" s="15" t="n"/>
      <c r="D437" s="15" t="n"/>
      <c r="E437" s="15" t="n"/>
      <c r="F437" s="15" t="n"/>
      <c r="G437" s="15" t="n"/>
      <c r="H437" s="15" t="n"/>
      <c r="I437" s="15" t="n"/>
    </row>
    <row r="438" ht="15.75" customHeight="1" s="48">
      <c r="A438" s="15" t="n"/>
      <c r="B438" s="15" t="n"/>
      <c r="C438" s="15" t="n"/>
      <c r="D438" s="15" t="n"/>
      <c r="E438" s="15" t="n"/>
      <c r="F438" s="15" t="n"/>
      <c r="G438" s="15" t="n"/>
      <c r="H438" s="15" t="n"/>
      <c r="I438" s="15" t="n"/>
    </row>
    <row r="439" ht="15.75" customHeight="1" s="48">
      <c r="A439" s="15" t="n"/>
      <c r="B439" s="15" t="n"/>
      <c r="C439" s="15" t="n"/>
      <c r="D439" s="15" t="n"/>
      <c r="E439" s="15" t="n"/>
      <c r="F439" s="15" t="n"/>
      <c r="G439" s="15" t="n"/>
      <c r="H439" s="15" t="n"/>
      <c r="I439" s="15" t="n"/>
    </row>
    <row r="440" ht="15.75" customHeight="1" s="48">
      <c r="A440" s="15" t="n"/>
      <c r="B440" s="15" t="n"/>
      <c r="C440" s="15" t="n"/>
      <c r="D440" s="15" t="n"/>
      <c r="E440" s="15" t="n"/>
      <c r="F440" s="15" t="n"/>
      <c r="G440" s="15" t="n"/>
      <c r="H440" s="15" t="n"/>
      <c r="I440" s="15" t="n"/>
    </row>
    <row r="441" ht="15.75" customHeight="1" s="48">
      <c r="A441" s="15" t="n"/>
      <c r="B441" s="15" t="n"/>
      <c r="C441" s="15" t="n"/>
      <c r="D441" s="15" t="n"/>
      <c r="E441" s="15" t="n"/>
      <c r="F441" s="15" t="n"/>
      <c r="G441" s="15" t="n"/>
      <c r="H441" s="15" t="n"/>
      <c r="I441" s="15" t="n"/>
    </row>
    <row r="442" ht="15.75" customHeight="1" s="48">
      <c r="A442" s="15" t="n"/>
      <c r="B442" s="15" t="n"/>
      <c r="C442" s="15" t="n"/>
      <c r="D442" s="15" t="n"/>
      <c r="E442" s="15" t="n"/>
      <c r="F442" s="15" t="n"/>
      <c r="G442" s="15" t="n"/>
      <c r="H442" s="15" t="n"/>
      <c r="I442" s="15" t="n"/>
    </row>
    <row r="443" ht="15.75" customHeight="1" s="48">
      <c r="A443" s="15" t="n"/>
      <c r="B443" s="15" t="n"/>
      <c r="C443" s="15" t="n"/>
      <c r="D443" s="15" t="n"/>
      <c r="E443" s="15" t="n"/>
      <c r="F443" s="15" t="n"/>
      <c r="G443" s="15" t="n"/>
      <c r="H443" s="15" t="n"/>
      <c r="I443" s="15" t="n"/>
    </row>
    <row r="444" ht="15.75" customHeight="1" s="48">
      <c r="A444" s="15" t="n"/>
      <c r="B444" s="15" t="n"/>
      <c r="C444" s="15" t="n"/>
      <c r="D444" s="15" t="n"/>
      <c r="E444" s="15" t="n"/>
      <c r="F444" s="15" t="n"/>
      <c r="G444" s="15" t="n"/>
      <c r="H444" s="15" t="n"/>
      <c r="I444" s="15" t="n"/>
    </row>
    <row r="445" ht="15.75" customHeight="1" s="48">
      <c r="A445" s="15" t="n"/>
      <c r="B445" s="15" t="n"/>
      <c r="C445" s="15" t="n"/>
      <c r="D445" s="15" t="n"/>
      <c r="E445" s="15" t="n"/>
      <c r="F445" s="15" t="n"/>
      <c r="G445" s="15" t="n"/>
      <c r="H445" s="15" t="n"/>
      <c r="I445" s="15" t="n"/>
    </row>
    <row r="446" ht="15.75" customHeight="1" s="48">
      <c r="A446" s="15" t="n"/>
      <c r="B446" s="15" t="n"/>
      <c r="C446" s="15" t="n"/>
      <c r="D446" s="15" t="n"/>
      <c r="E446" s="15" t="n"/>
      <c r="F446" s="15" t="n"/>
      <c r="G446" s="15" t="n"/>
      <c r="H446" s="15" t="n"/>
      <c r="I446" s="15" t="n"/>
    </row>
    <row r="447" ht="15.75" customHeight="1" s="48">
      <c r="A447" s="15" t="n"/>
      <c r="B447" s="15" t="n"/>
      <c r="C447" s="15" t="n"/>
      <c r="D447" s="15" t="n"/>
      <c r="E447" s="15" t="n"/>
      <c r="F447" s="15" t="n"/>
      <c r="G447" s="15" t="n"/>
      <c r="H447" s="15" t="n"/>
      <c r="I447" s="15" t="n"/>
    </row>
    <row r="448" ht="15.75" customHeight="1" s="48">
      <c r="A448" s="15" t="n"/>
      <c r="B448" s="15" t="n"/>
      <c r="C448" s="15" t="n"/>
      <c r="D448" s="15" t="n"/>
      <c r="E448" s="15" t="n"/>
      <c r="F448" s="15" t="n"/>
      <c r="G448" s="15" t="n"/>
      <c r="H448" s="15" t="n"/>
      <c r="I448" s="15" t="n"/>
    </row>
    <row r="449" ht="15.75" customHeight="1" s="48">
      <c r="A449" s="15" t="n"/>
      <c r="B449" s="15" t="n"/>
      <c r="C449" s="15" t="n"/>
      <c r="D449" s="15" t="n"/>
      <c r="E449" s="15" t="n"/>
      <c r="F449" s="15" t="n"/>
      <c r="G449" s="15" t="n"/>
      <c r="H449" s="15" t="n"/>
      <c r="I449" s="15" t="n"/>
    </row>
    <row r="450" ht="15.75" customHeight="1" s="48">
      <c r="A450" s="15" t="n"/>
      <c r="B450" s="15" t="n"/>
      <c r="C450" s="15" t="n"/>
      <c r="D450" s="15" t="n"/>
      <c r="E450" s="15" t="n"/>
      <c r="F450" s="15" t="n"/>
      <c r="G450" s="15" t="n"/>
      <c r="H450" s="15" t="n"/>
      <c r="I450" s="15" t="n"/>
    </row>
    <row r="451" ht="15.75" customHeight="1" s="48">
      <c r="A451" s="15" t="n"/>
      <c r="B451" s="15" t="n"/>
      <c r="C451" s="15" t="n"/>
      <c r="D451" s="15" t="n"/>
      <c r="E451" s="15" t="n"/>
      <c r="F451" s="15" t="n"/>
      <c r="G451" s="15" t="n"/>
      <c r="H451" s="15" t="n"/>
      <c r="I451" s="15" t="n"/>
    </row>
    <row r="452" ht="15.75" customHeight="1" s="48">
      <c r="A452" s="15" t="n"/>
      <c r="B452" s="15" t="n"/>
      <c r="C452" s="15" t="n"/>
      <c r="D452" s="15" t="n"/>
      <c r="E452" s="15" t="n"/>
      <c r="F452" s="15" t="n"/>
      <c r="G452" s="15" t="n"/>
      <c r="H452" s="15" t="n"/>
      <c r="I452" s="15" t="n"/>
    </row>
    <row r="453" ht="15.75" customHeight="1" s="48">
      <c r="A453" s="15" t="n"/>
      <c r="B453" s="15" t="n"/>
      <c r="C453" s="15" t="n"/>
      <c r="D453" s="15" t="n"/>
      <c r="E453" s="15" t="n"/>
      <c r="F453" s="15" t="n"/>
      <c r="G453" s="15" t="n"/>
      <c r="H453" s="15" t="n"/>
      <c r="I453" s="15" t="n"/>
    </row>
    <row r="454" ht="15.75" customHeight="1" s="48">
      <c r="A454" s="15" t="n"/>
      <c r="B454" s="15" t="n"/>
      <c r="C454" s="15" t="n"/>
      <c r="D454" s="15" t="n"/>
      <c r="E454" s="15" t="n"/>
      <c r="F454" s="15" t="n"/>
      <c r="G454" s="15" t="n"/>
      <c r="H454" s="15" t="n"/>
      <c r="I454" s="15" t="n"/>
    </row>
    <row r="455" ht="15.75" customHeight="1" s="48">
      <c r="A455" s="15" t="n"/>
      <c r="B455" s="15" t="n"/>
      <c r="C455" s="15" t="n"/>
      <c r="D455" s="15" t="n"/>
      <c r="E455" s="15" t="n"/>
      <c r="F455" s="15" t="n"/>
      <c r="G455" s="15" t="n"/>
      <c r="H455" s="15" t="n"/>
      <c r="I455" s="15" t="n"/>
    </row>
    <row r="456" ht="15.75" customHeight="1" s="48">
      <c r="A456" s="15" t="n"/>
      <c r="B456" s="15" t="n"/>
      <c r="C456" s="15" t="n"/>
      <c r="D456" s="15" t="n"/>
      <c r="E456" s="15" t="n"/>
      <c r="F456" s="15" t="n"/>
      <c r="G456" s="15" t="n"/>
      <c r="H456" s="15" t="n"/>
      <c r="I456" s="15" t="n"/>
    </row>
    <row r="457" ht="15.75" customHeight="1" s="48">
      <c r="A457" s="15" t="n"/>
      <c r="B457" s="15" t="n"/>
      <c r="C457" s="15" t="n"/>
      <c r="D457" s="15" t="n"/>
      <c r="E457" s="15" t="n"/>
      <c r="F457" s="15" t="n"/>
      <c r="G457" s="15" t="n"/>
      <c r="H457" s="15" t="n"/>
      <c r="I457" s="15" t="n"/>
    </row>
    <row r="458" ht="15.75" customHeight="1" s="48">
      <c r="A458" s="15" t="n"/>
      <c r="B458" s="15" t="n"/>
      <c r="C458" s="15" t="n"/>
      <c r="D458" s="15" t="n"/>
      <c r="E458" s="15" t="n"/>
      <c r="F458" s="15" t="n"/>
      <c r="G458" s="15" t="n"/>
      <c r="H458" s="15" t="n"/>
      <c r="I458" s="15" t="n"/>
    </row>
    <row r="459" ht="15.75" customHeight="1" s="48">
      <c r="A459" s="15" t="n"/>
      <c r="B459" s="15" t="n"/>
      <c r="C459" s="15" t="n"/>
      <c r="D459" s="15" t="n"/>
      <c r="E459" s="15" t="n"/>
      <c r="F459" s="15" t="n"/>
      <c r="G459" s="15" t="n"/>
      <c r="H459" s="15" t="n"/>
      <c r="I459" s="15" t="n"/>
    </row>
    <row r="460" ht="15.75" customHeight="1" s="48">
      <c r="A460" s="15" t="n"/>
      <c r="B460" s="15" t="n"/>
      <c r="C460" s="15" t="n"/>
      <c r="D460" s="15" t="n"/>
      <c r="E460" s="15" t="n"/>
      <c r="F460" s="15" t="n"/>
      <c r="G460" s="15" t="n"/>
      <c r="H460" s="15" t="n"/>
      <c r="I460" s="15" t="n"/>
    </row>
    <row r="461" ht="15.75" customHeight="1" s="48">
      <c r="A461" s="15" t="n"/>
      <c r="B461" s="15" t="n"/>
      <c r="C461" s="15" t="n"/>
      <c r="D461" s="15" t="n"/>
      <c r="E461" s="15" t="n"/>
      <c r="F461" s="15" t="n"/>
      <c r="G461" s="15" t="n"/>
      <c r="H461" s="15" t="n"/>
      <c r="I461" s="15" t="n"/>
    </row>
    <row r="462" ht="15.75" customHeight="1" s="48">
      <c r="A462" s="15" t="n"/>
      <c r="B462" s="15" t="n"/>
      <c r="C462" s="15" t="n"/>
      <c r="D462" s="15" t="n"/>
      <c r="E462" s="15" t="n"/>
      <c r="F462" s="15" t="n"/>
      <c r="G462" s="15" t="n"/>
      <c r="H462" s="15" t="n"/>
      <c r="I462" s="15" t="n"/>
    </row>
    <row r="463" ht="15.75" customHeight="1" s="48">
      <c r="A463" s="15" t="n"/>
      <c r="B463" s="15" t="n"/>
      <c r="C463" s="15" t="n"/>
      <c r="D463" s="15" t="n"/>
      <c r="E463" s="15" t="n"/>
      <c r="F463" s="15" t="n"/>
      <c r="G463" s="15" t="n"/>
      <c r="H463" s="15" t="n"/>
      <c r="I463" s="15" t="n"/>
    </row>
    <row r="464" ht="15.75" customHeight="1" s="48">
      <c r="A464" s="15" t="n"/>
      <c r="B464" s="15" t="n"/>
      <c r="C464" s="15" t="n"/>
      <c r="D464" s="15" t="n"/>
      <c r="E464" s="15" t="n"/>
      <c r="F464" s="15" t="n"/>
      <c r="G464" s="15" t="n"/>
      <c r="H464" s="15" t="n"/>
      <c r="I464" s="15" t="n"/>
    </row>
    <row r="465" ht="15.75" customHeight="1" s="48">
      <c r="A465" s="15" t="n"/>
      <c r="B465" s="15" t="n"/>
      <c r="C465" s="15" t="n"/>
      <c r="D465" s="15" t="n"/>
      <c r="E465" s="15" t="n"/>
      <c r="F465" s="15" t="n"/>
      <c r="G465" s="15" t="n"/>
      <c r="H465" s="15" t="n"/>
      <c r="I465" s="15" t="n"/>
    </row>
    <row r="466" ht="15.75" customHeight="1" s="48">
      <c r="A466" s="15" t="n"/>
      <c r="B466" s="15" t="n"/>
      <c r="C466" s="15" t="n"/>
      <c r="D466" s="15" t="n"/>
      <c r="E466" s="15" t="n"/>
      <c r="F466" s="15" t="n"/>
      <c r="G466" s="15" t="n"/>
      <c r="H466" s="15" t="n"/>
      <c r="I466" s="15" t="n"/>
    </row>
    <row r="467" ht="15.75" customHeight="1" s="48">
      <c r="A467" s="15" t="n"/>
      <c r="B467" s="15" t="n"/>
      <c r="C467" s="15" t="n"/>
      <c r="D467" s="15" t="n"/>
      <c r="E467" s="15" t="n"/>
      <c r="F467" s="15" t="n"/>
      <c r="G467" s="15" t="n"/>
      <c r="H467" s="15" t="n"/>
      <c r="I467" s="15" t="n"/>
    </row>
    <row r="468" ht="15.75" customHeight="1" s="48">
      <c r="A468" s="15" t="n"/>
      <c r="B468" s="15" t="n"/>
      <c r="C468" s="15" t="n"/>
      <c r="D468" s="15" t="n"/>
      <c r="E468" s="15" t="n"/>
      <c r="F468" s="15" t="n"/>
      <c r="G468" s="15" t="n"/>
      <c r="H468" s="15" t="n"/>
      <c r="I468" s="15" t="n"/>
    </row>
    <row r="469" ht="15.75" customHeight="1" s="48">
      <c r="A469" s="15" t="n"/>
      <c r="B469" s="15" t="n"/>
      <c r="C469" s="15" t="n"/>
      <c r="D469" s="15" t="n"/>
      <c r="E469" s="15" t="n"/>
      <c r="F469" s="15" t="n"/>
      <c r="G469" s="15" t="n"/>
      <c r="H469" s="15" t="n"/>
      <c r="I469" s="15" t="n"/>
    </row>
    <row r="470" ht="15.75" customHeight="1" s="48">
      <c r="A470" s="15" t="n"/>
      <c r="B470" s="15" t="n"/>
      <c r="C470" s="15" t="n"/>
      <c r="D470" s="15" t="n"/>
      <c r="E470" s="15" t="n"/>
      <c r="F470" s="15" t="n"/>
      <c r="G470" s="15" t="n"/>
      <c r="H470" s="15" t="n"/>
      <c r="I470" s="15" t="n"/>
    </row>
    <row r="471" ht="15.75" customHeight="1" s="48">
      <c r="A471" s="15" t="n"/>
      <c r="B471" s="15" t="n"/>
      <c r="C471" s="15" t="n"/>
      <c r="D471" s="15" t="n"/>
      <c r="E471" s="15" t="n"/>
      <c r="F471" s="15" t="n"/>
      <c r="G471" s="15" t="n"/>
      <c r="H471" s="15" t="n"/>
      <c r="I471" s="15" t="n"/>
    </row>
    <row r="472" ht="15.75" customHeight="1" s="48">
      <c r="A472" s="15" t="n"/>
      <c r="B472" s="15" t="n"/>
      <c r="C472" s="15" t="n"/>
      <c r="D472" s="15" t="n"/>
      <c r="E472" s="15" t="n"/>
      <c r="F472" s="15" t="n"/>
      <c r="G472" s="15" t="n"/>
      <c r="H472" s="15" t="n"/>
      <c r="I472" s="15" t="n"/>
    </row>
    <row r="473" ht="15.75" customHeight="1" s="48">
      <c r="A473" s="15" t="n"/>
      <c r="B473" s="15" t="n"/>
      <c r="C473" s="15" t="n"/>
      <c r="D473" s="15" t="n"/>
      <c r="E473" s="15" t="n"/>
      <c r="F473" s="15" t="n"/>
      <c r="G473" s="15" t="n"/>
      <c r="H473" s="15" t="n"/>
      <c r="I473" s="15" t="n"/>
    </row>
    <row r="474" ht="15.75" customHeight="1" s="48">
      <c r="A474" s="15" t="n"/>
      <c r="B474" s="15" t="n"/>
      <c r="C474" s="15" t="n"/>
      <c r="D474" s="15" t="n"/>
      <c r="E474" s="15" t="n"/>
      <c r="F474" s="15" t="n"/>
      <c r="G474" s="15" t="n"/>
      <c r="H474" s="15" t="n"/>
      <c r="I474" s="15" t="n"/>
    </row>
    <row r="475" ht="15.75" customHeight="1" s="48">
      <c r="A475" s="15" t="n"/>
      <c r="B475" s="15" t="n"/>
      <c r="C475" s="15" t="n"/>
      <c r="D475" s="15" t="n"/>
      <c r="E475" s="15" t="n"/>
      <c r="F475" s="15" t="n"/>
      <c r="G475" s="15" t="n"/>
      <c r="H475" s="15" t="n"/>
      <c r="I475" s="15" t="n"/>
    </row>
    <row r="476" ht="15.75" customHeight="1" s="48">
      <c r="A476" s="15" t="n"/>
      <c r="B476" s="15" t="n"/>
      <c r="C476" s="15" t="n"/>
      <c r="D476" s="15" t="n"/>
      <c r="E476" s="15" t="n"/>
      <c r="F476" s="15" t="n"/>
      <c r="G476" s="15" t="n"/>
      <c r="H476" s="15" t="n"/>
      <c r="I476" s="15" t="n"/>
    </row>
    <row r="477" ht="15.75" customHeight="1" s="48">
      <c r="A477" s="15" t="n"/>
      <c r="B477" s="15" t="n"/>
      <c r="C477" s="15" t="n"/>
      <c r="D477" s="15" t="n"/>
      <c r="E477" s="15" t="n"/>
      <c r="F477" s="15" t="n"/>
      <c r="G477" s="15" t="n"/>
      <c r="H477" s="15" t="n"/>
      <c r="I477" s="15" t="n"/>
    </row>
    <row r="478" ht="15.75" customHeight="1" s="48">
      <c r="A478" s="15" t="n"/>
      <c r="B478" s="15" t="n"/>
      <c r="C478" s="15" t="n"/>
      <c r="D478" s="15" t="n"/>
      <c r="E478" s="15" t="n"/>
      <c r="F478" s="15" t="n"/>
      <c r="G478" s="15" t="n"/>
      <c r="H478" s="15" t="n"/>
      <c r="I478" s="15" t="n"/>
    </row>
    <row r="479" ht="15.75" customHeight="1" s="48">
      <c r="A479" s="15" t="n"/>
      <c r="B479" s="15" t="n"/>
      <c r="C479" s="15" t="n"/>
      <c r="D479" s="15" t="n"/>
      <c r="E479" s="15" t="n"/>
      <c r="F479" s="15" t="n"/>
      <c r="G479" s="15" t="n"/>
      <c r="H479" s="15" t="n"/>
      <c r="I479" s="15" t="n"/>
    </row>
    <row r="480" ht="15.75" customHeight="1" s="48">
      <c r="A480" s="15" t="n"/>
      <c r="B480" s="15" t="n"/>
      <c r="C480" s="15" t="n"/>
      <c r="D480" s="15" t="n"/>
      <c r="E480" s="15" t="n"/>
      <c r="F480" s="15" t="n"/>
      <c r="G480" s="15" t="n"/>
      <c r="H480" s="15" t="n"/>
      <c r="I480" s="15" t="n"/>
    </row>
    <row r="481" ht="15.75" customHeight="1" s="48">
      <c r="A481" s="15" t="n"/>
      <c r="B481" s="15" t="n"/>
      <c r="C481" s="15" t="n"/>
      <c r="D481" s="15" t="n"/>
      <c r="E481" s="15" t="n"/>
      <c r="F481" s="15" t="n"/>
      <c r="G481" s="15" t="n"/>
      <c r="H481" s="15" t="n"/>
      <c r="I481" s="15" t="n"/>
    </row>
    <row r="482" ht="15.75" customHeight="1" s="48">
      <c r="A482" s="15" t="n"/>
      <c r="B482" s="15" t="n"/>
      <c r="C482" s="15" t="n"/>
      <c r="D482" s="15" t="n"/>
      <c r="E482" s="15" t="n"/>
      <c r="F482" s="15" t="n"/>
      <c r="G482" s="15" t="n"/>
      <c r="H482" s="15" t="n"/>
      <c r="I482" s="15" t="n"/>
    </row>
    <row r="483" ht="15.75" customHeight="1" s="48">
      <c r="A483" s="15" t="n"/>
      <c r="B483" s="15" t="n"/>
      <c r="C483" s="15" t="n"/>
      <c r="D483" s="15" t="n"/>
      <c r="E483" s="15" t="n"/>
      <c r="F483" s="15" t="n"/>
      <c r="G483" s="15" t="n"/>
      <c r="H483" s="15" t="n"/>
      <c r="I483" s="15" t="n"/>
    </row>
    <row r="484" ht="15.75" customHeight="1" s="48">
      <c r="A484" s="15" t="n"/>
      <c r="B484" s="15" t="n"/>
      <c r="C484" s="15" t="n"/>
      <c r="D484" s="15" t="n"/>
      <c r="E484" s="15" t="n"/>
      <c r="F484" s="15" t="n"/>
      <c r="G484" s="15" t="n"/>
      <c r="H484" s="15" t="n"/>
      <c r="I484" s="15" t="n"/>
    </row>
    <row r="485" ht="15.75" customHeight="1" s="48">
      <c r="A485" s="15" t="n"/>
      <c r="B485" s="15" t="n"/>
      <c r="C485" s="15" t="n"/>
      <c r="D485" s="15" t="n"/>
      <c r="E485" s="15" t="n"/>
      <c r="F485" s="15" t="n"/>
      <c r="G485" s="15" t="n"/>
      <c r="H485" s="15" t="n"/>
      <c r="I485" s="15" t="n"/>
    </row>
    <row r="486" ht="15.75" customHeight="1" s="48">
      <c r="A486" s="15" t="n"/>
      <c r="B486" s="15" t="n"/>
      <c r="C486" s="15" t="n"/>
      <c r="D486" s="15" t="n"/>
      <c r="E486" s="15" t="n"/>
      <c r="F486" s="15" t="n"/>
      <c r="G486" s="15" t="n"/>
      <c r="H486" s="15" t="n"/>
      <c r="I486" s="15" t="n"/>
    </row>
    <row r="487" ht="15.75" customHeight="1" s="48">
      <c r="A487" s="15" t="n"/>
      <c r="B487" s="15" t="n"/>
      <c r="C487" s="15" t="n"/>
      <c r="D487" s="15" t="n"/>
      <c r="E487" s="15" t="n"/>
      <c r="F487" s="15" t="n"/>
      <c r="G487" s="15" t="n"/>
      <c r="H487" s="15" t="n"/>
      <c r="I487" s="15" t="n"/>
    </row>
    <row r="488" ht="15.75" customHeight="1" s="48">
      <c r="A488" s="15" t="n"/>
      <c r="B488" s="15" t="n"/>
      <c r="C488" s="15" t="n"/>
      <c r="D488" s="15" t="n"/>
      <c r="E488" s="15" t="n"/>
      <c r="F488" s="15" t="n"/>
      <c r="G488" s="15" t="n"/>
      <c r="H488" s="15" t="n"/>
      <c r="I488" s="15" t="n"/>
    </row>
    <row r="489" ht="15.75" customHeight="1" s="48">
      <c r="A489" s="15" t="n"/>
      <c r="B489" s="15" t="n"/>
      <c r="C489" s="15" t="n"/>
      <c r="D489" s="15" t="n"/>
      <c r="E489" s="15" t="n"/>
      <c r="F489" s="15" t="n"/>
      <c r="G489" s="15" t="n"/>
      <c r="H489" s="15" t="n"/>
      <c r="I489" s="15" t="n"/>
    </row>
    <row r="490" ht="15.75" customHeight="1" s="48">
      <c r="A490" s="15" t="n"/>
      <c r="B490" s="15" t="n"/>
      <c r="C490" s="15" t="n"/>
      <c r="D490" s="15" t="n"/>
      <c r="E490" s="15" t="n"/>
      <c r="F490" s="15" t="n"/>
      <c r="G490" s="15" t="n"/>
      <c r="H490" s="15" t="n"/>
      <c r="I490" s="15" t="n"/>
    </row>
    <row r="491" ht="15.75" customHeight="1" s="48">
      <c r="A491" s="15" t="n"/>
      <c r="B491" s="15" t="n"/>
      <c r="C491" s="15" t="n"/>
      <c r="D491" s="15" t="n"/>
      <c r="E491" s="15" t="n"/>
      <c r="F491" s="15" t="n"/>
      <c r="G491" s="15" t="n"/>
      <c r="H491" s="15" t="n"/>
      <c r="I491" s="15" t="n"/>
    </row>
    <row r="492" ht="15.75" customHeight="1" s="48">
      <c r="A492" s="15" t="n"/>
      <c r="B492" s="15" t="n"/>
      <c r="C492" s="15" t="n"/>
      <c r="D492" s="15" t="n"/>
      <c r="E492" s="15" t="n"/>
      <c r="F492" s="15" t="n"/>
      <c r="G492" s="15" t="n"/>
      <c r="H492" s="15" t="n"/>
      <c r="I492" s="15" t="n"/>
    </row>
    <row r="493" ht="15.75" customHeight="1" s="48">
      <c r="A493" s="15" t="n"/>
      <c r="B493" s="15" t="n"/>
      <c r="C493" s="15" t="n"/>
      <c r="D493" s="15" t="n"/>
      <c r="E493" s="15" t="n"/>
      <c r="F493" s="15" t="n"/>
      <c r="G493" s="15" t="n"/>
      <c r="H493" s="15" t="n"/>
      <c r="I493" s="15" t="n"/>
    </row>
    <row r="494" ht="15.75" customHeight="1" s="48">
      <c r="A494" s="15" t="n"/>
      <c r="B494" s="15" t="n"/>
      <c r="C494" s="15" t="n"/>
      <c r="D494" s="15" t="n"/>
      <c r="E494" s="15" t="n"/>
      <c r="F494" s="15" t="n"/>
      <c r="G494" s="15" t="n"/>
      <c r="H494" s="15" t="n"/>
      <c r="I494" s="15" t="n"/>
    </row>
    <row r="495" ht="15.75" customHeight="1" s="48">
      <c r="A495" s="15" t="n"/>
      <c r="B495" s="15" t="n"/>
      <c r="C495" s="15" t="n"/>
      <c r="D495" s="15" t="n"/>
      <c r="E495" s="15" t="n"/>
      <c r="F495" s="15" t="n"/>
      <c r="G495" s="15" t="n"/>
      <c r="H495" s="15" t="n"/>
      <c r="I495" s="15" t="n"/>
    </row>
    <row r="496" ht="15.75" customHeight="1" s="48">
      <c r="A496" s="15" t="n"/>
      <c r="B496" s="15" t="n"/>
      <c r="C496" s="15" t="n"/>
      <c r="D496" s="15" t="n"/>
      <c r="E496" s="15" t="n"/>
      <c r="F496" s="15" t="n"/>
      <c r="G496" s="15" t="n"/>
      <c r="H496" s="15" t="n"/>
      <c r="I496" s="15" t="n"/>
    </row>
    <row r="497" ht="15.75" customHeight="1" s="48">
      <c r="A497" s="15" t="n"/>
      <c r="B497" s="15" t="n"/>
      <c r="C497" s="15" t="n"/>
      <c r="D497" s="15" t="n"/>
      <c r="E497" s="15" t="n"/>
      <c r="F497" s="15" t="n"/>
      <c r="G497" s="15" t="n"/>
      <c r="H497" s="15" t="n"/>
      <c r="I497" s="15" t="n"/>
    </row>
    <row r="498" ht="15.75" customHeight="1" s="48">
      <c r="A498" s="15" t="n"/>
      <c r="B498" s="15" t="n"/>
      <c r="C498" s="15" t="n"/>
      <c r="D498" s="15" t="n"/>
      <c r="E498" s="15" t="n"/>
      <c r="F498" s="15" t="n"/>
      <c r="G498" s="15" t="n"/>
      <c r="H498" s="15" t="n"/>
      <c r="I498" s="15" t="n"/>
    </row>
    <row r="499" ht="15.75" customHeight="1" s="48">
      <c r="A499" s="15" t="n"/>
      <c r="B499" s="15" t="n"/>
      <c r="C499" s="15" t="n"/>
      <c r="D499" s="15" t="n"/>
      <c r="E499" s="15" t="n"/>
      <c r="F499" s="15" t="n"/>
      <c r="G499" s="15" t="n"/>
      <c r="H499" s="15" t="n"/>
      <c r="I499" s="15" t="n"/>
    </row>
    <row r="500" ht="15.75" customHeight="1" s="48">
      <c r="A500" s="15" t="n"/>
      <c r="B500" s="15" t="n"/>
      <c r="C500" s="15" t="n"/>
      <c r="D500" s="15" t="n"/>
      <c r="E500" s="15" t="n"/>
      <c r="F500" s="15" t="n"/>
      <c r="G500" s="15" t="n"/>
      <c r="H500" s="15" t="n"/>
      <c r="I500" s="15" t="n"/>
    </row>
    <row r="501" ht="15.75" customHeight="1" s="48">
      <c r="A501" s="15" t="n"/>
      <c r="B501" s="15" t="n"/>
      <c r="C501" s="15" t="n"/>
      <c r="D501" s="15" t="n"/>
      <c r="E501" s="15" t="n"/>
      <c r="F501" s="15" t="n"/>
      <c r="G501" s="15" t="n"/>
      <c r="H501" s="15" t="n"/>
      <c r="I501" s="15" t="n"/>
    </row>
    <row r="502" ht="15.75" customHeight="1" s="48">
      <c r="A502" s="15" t="n"/>
      <c r="B502" s="15" t="n"/>
      <c r="C502" s="15" t="n"/>
      <c r="D502" s="15" t="n"/>
      <c r="E502" s="15" t="n"/>
      <c r="F502" s="15" t="n"/>
      <c r="G502" s="15" t="n"/>
      <c r="H502" s="15" t="n"/>
      <c r="I502" s="15" t="n"/>
    </row>
    <row r="503" ht="15.75" customHeight="1" s="48">
      <c r="A503" s="15" t="n"/>
      <c r="B503" s="15" t="n"/>
      <c r="C503" s="15" t="n"/>
      <c r="D503" s="15" t="n"/>
      <c r="E503" s="15" t="n"/>
      <c r="F503" s="15" t="n"/>
      <c r="G503" s="15" t="n"/>
      <c r="H503" s="15" t="n"/>
      <c r="I503" s="15" t="n"/>
    </row>
    <row r="504" ht="15.75" customHeight="1" s="48">
      <c r="A504" s="15" t="n"/>
      <c r="B504" s="15" t="n"/>
      <c r="C504" s="15" t="n"/>
      <c r="D504" s="15" t="n"/>
      <c r="E504" s="15" t="n"/>
      <c r="F504" s="15" t="n"/>
      <c r="G504" s="15" t="n"/>
      <c r="H504" s="15" t="n"/>
      <c r="I504" s="15" t="n"/>
    </row>
    <row r="505" ht="15.75" customHeight="1" s="48">
      <c r="A505" s="15" t="n"/>
      <c r="B505" s="15" t="n"/>
      <c r="C505" s="15" t="n"/>
      <c r="D505" s="15" t="n"/>
      <c r="E505" s="15" t="n"/>
      <c r="F505" s="15" t="n"/>
      <c r="G505" s="15" t="n"/>
      <c r="H505" s="15" t="n"/>
      <c r="I505" s="15" t="n"/>
    </row>
    <row r="506" ht="15.75" customHeight="1" s="48">
      <c r="A506" s="15" t="n"/>
      <c r="B506" s="15" t="n"/>
      <c r="C506" s="15" t="n"/>
      <c r="D506" s="15" t="n"/>
      <c r="E506" s="15" t="n"/>
      <c r="F506" s="15" t="n"/>
      <c r="G506" s="15" t="n"/>
      <c r="H506" s="15" t="n"/>
      <c r="I506" s="15" t="n"/>
    </row>
    <row r="507" ht="15.75" customHeight="1" s="48">
      <c r="A507" s="15" t="n"/>
      <c r="B507" s="15" t="n"/>
      <c r="C507" s="15" t="n"/>
      <c r="D507" s="15" t="n"/>
      <c r="E507" s="15" t="n"/>
      <c r="F507" s="15" t="n"/>
      <c r="G507" s="15" t="n"/>
      <c r="H507" s="15" t="n"/>
      <c r="I507" s="15" t="n"/>
    </row>
    <row r="508" ht="15.75" customHeight="1" s="48">
      <c r="A508" s="15" t="n"/>
      <c r="B508" s="15" t="n"/>
      <c r="C508" s="15" t="n"/>
      <c r="D508" s="15" t="n"/>
      <c r="E508" s="15" t="n"/>
      <c r="F508" s="15" t="n"/>
      <c r="G508" s="15" t="n"/>
      <c r="H508" s="15" t="n"/>
      <c r="I508" s="15" t="n"/>
    </row>
    <row r="509" ht="15.75" customHeight="1" s="48">
      <c r="A509" s="15" t="n"/>
      <c r="B509" s="15" t="n"/>
      <c r="C509" s="15" t="n"/>
      <c r="D509" s="15" t="n"/>
      <c r="E509" s="15" t="n"/>
      <c r="F509" s="15" t="n"/>
      <c r="G509" s="15" t="n"/>
      <c r="H509" s="15" t="n"/>
      <c r="I509" s="15" t="n"/>
    </row>
    <row r="510" ht="15.75" customHeight="1" s="48">
      <c r="A510" s="15" t="n"/>
      <c r="B510" s="15" t="n"/>
      <c r="C510" s="15" t="n"/>
      <c r="D510" s="15" t="n"/>
      <c r="E510" s="15" t="n"/>
      <c r="F510" s="15" t="n"/>
      <c r="G510" s="15" t="n"/>
      <c r="H510" s="15" t="n"/>
      <c r="I510" s="15" t="n"/>
    </row>
    <row r="511" ht="15.75" customHeight="1" s="48">
      <c r="A511" s="15" t="n"/>
      <c r="B511" s="15" t="n"/>
      <c r="C511" s="15" t="n"/>
      <c r="D511" s="15" t="n"/>
      <c r="E511" s="15" t="n"/>
      <c r="F511" s="15" t="n"/>
      <c r="G511" s="15" t="n"/>
      <c r="H511" s="15" t="n"/>
      <c r="I511" s="15" t="n"/>
    </row>
    <row r="512" ht="15.75" customHeight="1" s="48">
      <c r="A512" s="15" t="n"/>
      <c r="B512" s="15" t="n"/>
      <c r="C512" s="15" t="n"/>
      <c r="D512" s="15" t="n"/>
      <c r="E512" s="15" t="n"/>
      <c r="F512" s="15" t="n"/>
      <c r="G512" s="15" t="n"/>
      <c r="H512" s="15" t="n"/>
      <c r="I512" s="15" t="n"/>
    </row>
    <row r="513" ht="15.75" customHeight="1" s="48">
      <c r="A513" s="15" t="n"/>
      <c r="B513" s="15" t="n"/>
      <c r="C513" s="15" t="n"/>
      <c r="D513" s="15" t="n"/>
      <c r="E513" s="15" t="n"/>
      <c r="F513" s="15" t="n"/>
      <c r="G513" s="15" t="n"/>
      <c r="H513" s="15" t="n"/>
      <c r="I513" s="15" t="n"/>
    </row>
    <row r="514" ht="15.75" customHeight="1" s="48">
      <c r="A514" s="15" t="n"/>
      <c r="B514" s="15" t="n"/>
      <c r="C514" s="15" t="n"/>
      <c r="D514" s="15" t="n"/>
      <c r="E514" s="15" t="n"/>
      <c r="F514" s="15" t="n"/>
      <c r="G514" s="15" t="n"/>
      <c r="H514" s="15" t="n"/>
      <c r="I514" s="15" t="n"/>
    </row>
    <row r="515" ht="15.75" customHeight="1" s="48">
      <c r="A515" s="15" t="n"/>
      <c r="B515" s="15" t="n"/>
      <c r="C515" s="15" t="n"/>
      <c r="D515" s="15" t="n"/>
      <c r="E515" s="15" t="n"/>
      <c r="F515" s="15" t="n"/>
      <c r="G515" s="15" t="n"/>
      <c r="H515" s="15" t="n"/>
      <c r="I515" s="15" t="n"/>
    </row>
    <row r="516" ht="15.75" customHeight="1" s="48">
      <c r="A516" s="15" t="n"/>
      <c r="B516" s="15" t="n"/>
      <c r="C516" s="15" t="n"/>
      <c r="D516" s="15" t="n"/>
      <c r="E516" s="15" t="n"/>
      <c r="F516" s="15" t="n"/>
      <c r="G516" s="15" t="n"/>
      <c r="H516" s="15" t="n"/>
      <c r="I516" s="15" t="n"/>
    </row>
    <row r="517" ht="15.75" customHeight="1" s="48">
      <c r="A517" s="15" t="n"/>
      <c r="B517" s="15" t="n"/>
      <c r="C517" s="15" t="n"/>
      <c r="D517" s="15" t="n"/>
      <c r="E517" s="15" t="n"/>
      <c r="F517" s="15" t="n"/>
      <c r="G517" s="15" t="n"/>
      <c r="H517" s="15" t="n"/>
      <c r="I517" s="15" t="n"/>
    </row>
    <row r="518" ht="15.75" customHeight="1" s="48">
      <c r="A518" s="15" t="n"/>
      <c r="B518" s="15" t="n"/>
      <c r="C518" s="15" t="n"/>
      <c r="D518" s="15" t="n"/>
      <c r="E518" s="15" t="n"/>
      <c r="F518" s="15" t="n"/>
      <c r="G518" s="15" t="n"/>
      <c r="H518" s="15" t="n"/>
      <c r="I518" s="15" t="n"/>
    </row>
    <row r="519" ht="15.75" customHeight="1" s="48">
      <c r="A519" s="15" t="n"/>
      <c r="B519" s="15" t="n"/>
      <c r="C519" s="15" t="n"/>
      <c r="D519" s="15" t="n"/>
      <c r="E519" s="15" t="n"/>
      <c r="F519" s="15" t="n"/>
      <c r="G519" s="15" t="n"/>
      <c r="H519" s="15" t="n"/>
      <c r="I519" s="15" t="n"/>
    </row>
    <row r="520" ht="15.75" customHeight="1" s="48">
      <c r="A520" s="15" t="n"/>
      <c r="B520" s="15" t="n"/>
      <c r="C520" s="15" t="n"/>
      <c r="D520" s="15" t="n"/>
      <c r="E520" s="15" t="n"/>
      <c r="F520" s="15" t="n"/>
      <c r="G520" s="15" t="n"/>
      <c r="H520" s="15" t="n"/>
      <c r="I520" s="15" t="n"/>
    </row>
    <row r="521" ht="15.75" customHeight="1" s="48">
      <c r="A521" s="15" t="n"/>
      <c r="B521" s="15" t="n"/>
      <c r="C521" s="15" t="n"/>
      <c r="D521" s="15" t="n"/>
      <c r="E521" s="15" t="n"/>
      <c r="F521" s="15" t="n"/>
      <c r="G521" s="15" t="n"/>
      <c r="H521" s="15" t="n"/>
      <c r="I521" s="15" t="n"/>
    </row>
    <row r="522" ht="15.75" customHeight="1" s="48">
      <c r="A522" s="15" t="n"/>
      <c r="B522" s="15" t="n"/>
      <c r="C522" s="15" t="n"/>
      <c r="D522" s="15" t="n"/>
      <c r="E522" s="15" t="n"/>
      <c r="F522" s="15" t="n"/>
      <c r="G522" s="15" t="n"/>
      <c r="H522" s="15" t="n"/>
      <c r="I522" s="15" t="n"/>
    </row>
    <row r="523" ht="15.75" customHeight="1" s="48">
      <c r="A523" s="15" t="n"/>
      <c r="B523" s="15" t="n"/>
      <c r="C523" s="15" t="n"/>
      <c r="D523" s="15" t="n"/>
      <c r="E523" s="15" t="n"/>
      <c r="F523" s="15" t="n"/>
      <c r="G523" s="15" t="n"/>
      <c r="H523" s="15" t="n"/>
      <c r="I523" s="15" t="n"/>
    </row>
    <row r="524" ht="15.75" customHeight="1" s="48">
      <c r="A524" s="15" t="n"/>
      <c r="B524" s="15" t="n"/>
      <c r="C524" s="15" t="n"/>
      <c r="D524" s="15" t="n"/>
      <c r="E524" s="15" t="n"/>
      <c r="F524" s="15" t="n"/>
      <c r="G524" s="15" t="n"/>
      <c r="H524" s="15" t="n"/>
      <c r="I524" s="15" t="n"/>
    </row>
    <row r="525" ht="15.75" customHeight="1" s="48">
      <c r="A525" s="15" t="n"/>
      <c r="B525" s="15" t="n"/>
      <c r="C525" s="15" t="n"/>
      <c r="D525" s="15" t="n"/>
      <c r="E525" s="15" t="n"/>
      <c r="F525" s="15" t="n"/>
      <c r="G525" s="15" t="n"/>
      <c r="H525" s="15" t="n"/>
      <c r="I525" s="15" t="n"/>
    </row>
    <row r="526" ht="15.75" customHeight="1" s="48">
      <c r="A526" s="15" t="n"/>
      <c r="B526" s="15" t="n"/>
      <c r="C526" s="15" t="n"/>
      <c r="D526" s="15" t="n"/>
      <c r="E526" s="15" t="n"/>
      <c r="F526" s="15" t="n"/>
      <c r="G526" s="15" t="n"/>
      <c r="H526" s="15" t="n"/>
      <c r="I526" s="15" t="n"/>
    </row>
    <row r="527" ht="15.75" customHeight="1" s="48">
      <c r="A527" s="15" t="n"/>
      <c r="B527" s="15" t="n"/>
      <c r="C527" s="15" t="n"/>
      <c r="D527" s="15" t="n"/>
      <c r="E527" s="15" t="n"/>
      <c r="F527" s="15" t="n"/>
      <c r="G527" s="15" t="n"/>
      <c r="H527" s="15" t="n"/>
      <c r="I527" s="15" t="n"/>
    </row>
    <row r="528" ht="15.75" customHeight="1" s="48">
      <c r="A528" s="15" t="n"/>
      <c r="B528" s="15" t="n"/>
      <c r="C528" s="15" t="n"/>
      <c r="D528" s="15" t="n"/>
      <c r="E528" s="15" t="n"/>
      <c r="F528" s="15" t="n"/>
      <c r="G528" s="15" t="n"/>
      <c r="H528" s="15" t="n"/>
      <c r="I528" s="15" t="n"/>
    </row>
    <row r="529" ht="15.75" customHeight="1" s="48">
      <c r="A529" s="15" t="n"/>
      <c r="B529" s="15" t="n"/>
      <c r="C529" s="15" t="n"/>
      <c r="D529" s="15" t="n"/>
      <c r="E529" s="15" t="n"/>
      <c r="F529" s="15" t="n"/>
      <c r="G529" s="15" t="n"/>
      <c r="H529" s="15" t="n"/>
      <c r="I529" s="15" t="n"/>
    </row>
    <row r="530" ht="15.75" customHeight="1" s="48">
      <c r="A530" s="15" t="n"/>
      <c r="B530" s="15" t="n"/>
      <c r="C530" s="15" t="n"/>
      <c r="D530" s="15" t="n"/>
      <c r="E530" s="15" t="n"/>
      <c r="F530" s="15" t="n"/>
      <c r="G530" s="15" t="n"/>
      <c r="H530" s="15" t="n"/>
      <c r="I530" s="15" t="n"/>
    </row>
    <row r="531" ht="15.75" customHeight="1" s="48">
      <c r="A531" s="15" t="n"/>
      <c r="B531" s="15" t="n"/>
      <c r="C531" s="15" t="n"/>
      <c r="D531" s="15" t="n"/>
      <c r="E531" s="15" t="n"/>
      <c r="F531" s="15" t="n"/>
      <c r="G531" s="15" t="n"/>
      <c r="H531" s="15" t="n"/>
      <c r="I531" s="15" t="n"/>
    </row>
    <row r="532" ht="15.75" customHeight="1" s="48">
      <c r="A532" s="15" t="n"/>
      <c r="B532" s="15" t="n"/>
      <c r="C532" s="15" t="n"/>
      <c r="D532" s="15" t="n"/>
      <c r="E532" s="15" t="n"/>
      <c r="F532" s="15" t="n"/>
      <c r="G532" s="15" t="n"/>
      <c r="H532" s="15" t="n"/>
      <c r="I532" s="15" t="n"/>
    </row>
    <row r="533" ht="15.75" customHeight="1" s="48">
      <c r="A533" s="15" t="n"/>
      <c r="B533" s="15" t="n"/>
      <c r="C533" s="15" t="n"/>
      <c r="D533" s="15" t="n"/>
      <c r="E533" s="15" t="n"/>
      <c r="F533" s="15" t="n"/>
      <c r="G533" s="15" t="n"/>
      <c r="H533" s="15" t="n"/>
      <c r="I533" s="15" t="n"/>
    </row>
    <row r="534" ht="15.75" customHeight="1" s="48">
      <c r="A534" s="15" t="n"/>
      <c r="B534" s="15" t="n"/>
      <c r="C534" s="15" t="n"/>
      <c r="D534" s="15" t="n"/>
      <c r="E534" s="15" t="n"/>
      <c r="F534" s="15" t="n"/>
      <c r="G534" s="15" t="n"/>
      <c r="H534" s="15" t="n"/>
      <c r="I534" s="15" t="n"/>
    </row>
    <row r="535" ht="15.75" customHeight="1" s="48">
      <c r="A535" s="15" t="n"/>
      <c r="B535" s="15" t="n"/>
      <c r="C535" s="15" t="n"/>
      <c r="D535" s="15" t="n"/>
      <c r="E535" s="15" t="n"/>
      <c r="F535" s="15" t="n"/>
      <c r="G535" s="15" t="n"/>
      <c r="H535" s="15" t="n"/>
      <c r="I535" s="15" t="n"/>
    </row>
    <row r="536" ht="15.75" customHeight="1" s="48">
      <c r="A536" s="15" t="n"/>
      <c r="B536" s="15" t="n"/>
      <c r="C536" s="15" t="n"/>
      <c r="D536" s="15" t="n"/>
      <c r="E536" s="15" t="n"/>
      <c r="F536" s="15" t="n"/>
      <c r="G536" s="15" t="n"/>
      <c r="H536" s="15" t="n"/>
      <c r="I536" s="15" t="n"/>
    </row>
    <row r="537" ht="15.75" customHeight="1" s="48">
      <c r="A537" s="15" t="n"/>
      <c r="B537" s="15" t="n"/>
      <c r="C537" s="15" t="n"/>
      <c r="D537" s="15" t="n"/>
      <c r="E537" s="15" t="n"/>
      <c r="F537" s="15" t="n"/>
      <c r="G537" s="15" t="n"/>
      <c r="H537" s="15" t="n"/>
      <c r="I537" s="15" t="n"/>
    </row>
    <row r="538" ht="15.75" customHeight="1" s="48">
      <c r="A538" s="15" t="n"/>
      <c r="B538" s="15" t="n"/>
      <c r="C538" s="15" t="n"/>
      <c r="D538" s="15" t="n"/>
      <c r="E538" s="15" t="n"/>
      <c r="F538" s="15" t="n"/>
      <c r="G538" s="15" t="n"/>
      <c r="H538" s="15" t="n"/>
      <c r="I538" s="15" t="n"/>
    </row>
    <row r="539" ht="15.75" customHeight="1" s="48">
      <c r="A539" s="15" t="n"/>
      <c r="B539" s="15" t="n"/>
      <c r="C539" s="15" t="n"/>
      <c r="D539" s="15" t="n"/>
      <c r="E539" s="15" t="n"/>
      <c r="F539" s="15" t="n"/>
      <c r="G539" s="15" t="n"/>
      <c r="H539" s="15" t="n"/>
      <c r="I539" s="15" t="n"/>
    </row>
    <row r="540" ht="15.75" customHeight="1" s="48">
      <c r="A540" s="15" t="n"/>
      <c r="B540" s="15" t="n"/>
      <c r="C540" s="15" t="n"/>
      <c r="D540" s="15" t="n"/>
      <c r="E540" s="15" t="n"/>
      <c r="F540" s="15" t="n"/>
      <c r="G540" s="15" t="n"/>
      <c r="H540" s="15" t="n"/>
      <c r="I540" s="15" t="n"/>
    </row>
    <row r="541" ht="15.75" customHeight="1" s="48">
      <c r="A541" s="15" t="n"/>
      <c r="B541" s="15" t="n"/>
      <c r="C541" s="15" t="n"/>
      <c r="D541" s="15" t="n"/>
      <c r="E541" s="15" t="n"/>
      <c r="F541" s="15" t="n"/>
      <c r="G541" s="15" t="n"/>
      <c r="H541" s="15" t="n"/>
      <c r="I541" s="15" t="n"/>
    </row>
    <row r="542" ht="15.75" customHeight="1" s="48">
      <c r="A542" s="15" t="n"/>
      <c r="B542" s="15" t="n"/>
      <c r="C542" s="15" t="n"/>
      <c r="D542" s="15" t="n"/>
      <c r="E542" s="15" t="n"/>
      <c r="F542" s="15" t="n"/>
      <c r="G542" s="15" t="n"/>
      <c r="H542" s="15" t="n"/>
      <c r="I542" s="15" t="n"/>
    </row>
    <row r="543" ht="15.75" customHeight="1" s="48">
      <c r="A543" s="15" t="n"/>
      <c r="B543" s="15" t="n"/>
      <c r="C543" s="15" t="n"/>
      <c r="D543" s="15" t="n"/>
      <c r="E543" s="15" t="n"/>
      <c r="F543" s="15" t="n"/>
      <c r="G543" s="15" t="n"/>
      <c r="H543" s="15" t="n"/>
      <c r="I543" s="15" t="n"/>
    </row>
    <row r="544" ht="15.75" customHeight="1" s="48">
      <c r="A544" s="15" t="n"/>
      <c r="B544" s="15" t="n"/>
      <c r="C544" s="15" t="n"/>
      <c r="D544" s="15" t="n"/>
      <c r="E544" s="15" t="n"/>
      <c r="F544" s="15" t="n"/>
      <c r="G544" s="15" t="n"/>
      <c r="H544" s="15" t="n"/>
      <c r="I544" s="15" t="n"/>
    </row>
    <row r="545" ht="15.75" customHeight="1" s="48">
      <c r="A545" s="15" t="n"/>
      <c r="B545" s="15" t="n"/>
      <c r="C545" s="15" t="n"/>
      <c r="D545" s="15" t="n"/>
      <c r="E545" s="15" t="n"/>
      <c r="F545" s="15" t="n"/>
      <c r="G545" s="15" t="n"/>
      <c r="H545" s="15" t="n"/>
      <c r="I545" s="15" t="n"/>
    </row>
    <row r="546" ht="15.75" customHeight="1" s="48">
      <c r="A546" s="15" t="n"/>
      <c r="B546" s="15" t="n"/>
      <c r="C546" s="15" t="n"/>
      <c r="D546" s="15" t="n"/>
      <c r="E546" s="15" t="n"/>
      <c r="F546" s="15" t="n"/>
      <c r="G546" s="15" t="n"/>
      <c r="H546" s="15" t="n"/>
      <c r="I546" s="15" t="n"/>
    </row>
    <row r="547" ht="15.75" customHeight="1" s="48">
      <c r="A547" s="15" t="n"/>
      <c r="B547" s="15" t="n"/>
      <c r="C547" s="15" t="n"/>
      <c r="D547" s="15" t="n"/>
      <c r="E547" s="15" t="n"/>
      <c r="F547" s="15" t="n"/>
      <c r="G547" s="15" t="n"/>
      <c r="H547" s="15" t="n"/>
      <c r="I547" s="15" t="n"/>
    </row>
    <row r="548" ht="15.75" customHeight="1" s="48">
      <c r="A548" s="15" t="n"/>
      <c r="B548" s="15" t="n"/>
      <c r="C548" s="15" t="n"/>
      <c r="D548" s="15" t="n"/>
      <c r="E548" s="15" t="n"/>
      <c r="F548" s="15" t="n"/>
      <c r="G548" s="15" t="n"/>
      <c r="H548" s="15" t="n"/>
      <c r="I548" s="15" t="n"/>
    </row>
    <row r="549" ht="15.75" customHeight="1" s="48">
      <c r="A549" s="15" t="n"/>
      <c r="B549" s="15" t="n"/>
      <c r="C549" s="15" t="n"/>
      <c r="D549" s="15" t="n"/>
      <c r="E549" s="15" t="n"/>
      <c r="F549" s="15" t="n"/>
      <c r="G549" s="15" t="n"/>
      <c r="H549" s="15" t="n"/>
      <c r="I549" s="15" t="n"/>
    </row>
    <row r="550" ht="15.75" customHeight="1" s="48">
      <c r="A550" s="15" t="n"/>
      <c r="B550" s="15" t="n"/>
      <c r="C550" s="15" t="n"/>
      <c r="D550" s="15" t="n"/>
      <c r="E550" s="15" t="n"/>
      <c r="F550" s="15" t="n"/>
      <c r="G550" s="15" t="n"/>
      <c r="H550" s="15" t="n"/>
      <c r="I550" s="15" t="n"/>
    </row>
    <row r="551" ht="15.75" customHeight="1" s="48">
      <c r="A551" s="15" t="n"/>
      <c r="B551" s="15" t="n"/>
      <c r="C551" s="15" t="n"/>
      <c r="D551" s="15" t="n"/>
      <c r="E551" s="15" t="n"/>
      <c r="F551" s="15" t="n"/>
      <c r="G551" s="15" t="n"/>
      <c r="H551" s="15" t="n"/>
      <c r="I551" s="15" t="n"/>
    </row>
    <row r="552" ht="15.75" customHeight="1" s="48">
      <c r="A552" s="15" t="n"/>
      <c r="B552" s="15" t="n"/>
      <c r="C552" s="15" t="n"/>
      <c r="D552" s="15" t="n"/>
      <c r="E552" s="15" t="n"/>
      <c r="F552" s="15" t="n"/>
      <c r="G552" s="15" t="n"/>
      <c r="H552" s="15" t="n"/>
      <c r="I552" s="15" t="n"/>
    </row>
    <row r="553" ht="15.75" customHeight="1" s="48">
      <c r="A553" s="15" t="n"/>
      <c r="B553" s="15" t="n"/>
      <c r="C553" s="15" t="n"/>
      <c r="D553" s="15" t="n"/>
      <c r="E553" s="15" t="n"/>
      <c r="F553" s="15" t="n"/>
      <c r="G553" s="15" t="n"/>
      <c r="H553" s="15" t="n"/>
      <c r="I553" s="15" t="n"/>
    </row>
    <row r="554" ht="15.75" customHeight="1" s="48">
      <c r="A554" s="15" t="n"/>
      <c r="B554" s="15" t="n"/>
      <c r="C554" s="15" t="n"/>
      <c r="D554" s="15" t="n"/>
      <c r="E554" s="15" t="n"/>
      <c r="F554" s="15" t="n"/>
      <c r="G554" s="15" t="n"/>
      <c r="H554" s="15" t="n"/>
      <c r="I554" s="15" t="n"/>
    </row>
    <row r="555" ht="15.75" customHeight="1" s="48">
      <c r="A555" s="15" t="n"/>
      <c r="B555" s="15" t="n"/>
      <c r="C555" s="15" t="n"/>
      <c r="D555" s="15" t="n"/>
      <c r="E555" s="15" t="n"/>
      <c r="F555" s="15" t="n"/>
      <c r="G555" s="15" t="n"/>
      <c r="H555" s="15" t="n"/>
      <c r="I555" s="15" t="n"/>
    </row>
    <row r="556" ht="15.75" customHeight="1" s="48">
      <c r="A556" s="15" t="n"/>
      <c r="B556" s="15" t="n"/>
      <c r="C556" s="15" t="n"/>
      <c r="D556" s="15" t="n"/>
      <c r="E556" s="15" t="n"/>
      <c r="F556" s="15" t="n"/>
      <c r="G556" s="15" t="n"/>
      <c r="H556" s="15" t="n"/>
      <c r="I556" s="15" t="n"/>
    </row>
    <row r="557" ht="15.75" customHeight="1" s="48">
      <c r="A557" s="15" t="n"/>
      <c r="B557" s="15" t="n"/>
      <c r="C557" s="15" t="n"/>
      <c r="D557" s="15" t="n"/>
      <c r="E557" s="15" t="n"/>
      <c r="F557" s="15" t="n"/>
      <c r="G557" s="15" t="n"/>
      <c r="H557" s="15" t="n"/>
      <c r="I557" s="15" t="n"/>
    </row>
    <row r="558" ht="15.75" customHeight="1" s="48">
      <c r="A558" s="15" t="n"/>
      <c r="B558" s="15" t="n"/>
      <c r="C558" s="15" t="n"/>
      <c r="D558" s="15" t="n"/>
      <c r="E558" s="15" t="n"/>
      <c r="F558" s="15" t="n"/>
      <c r="G558" s="15" t="n"/>
      <c r="H558" s="15" t="n"/>
      <c r="I558" s="15" t="n"/>
    </row>
    <row r="559" ht="15.75" customHeight="1" s="48">
      <c r="A559" s="15" t="n"/>
      <c r="B559" s="15" t="n"/>
      <c r="C559" s="15" t="n"/>
      <c r="D559" s="15" t="n"/>
      <c r="E559" s="15" t="n"/>
      <c r="F559" s="15" t="n"/>
      <c r="G559" s="15" t="n"/>
      <c r="H559" s="15" t="n"/>
      <c r="I559" s="15" t="n"/>
    </row>
    <row r="560" ht="15.75" customHeight="1" s="48">
      <c r="A560" s="15" t="n"/>
      <c r="B560" s="15" t="n"/>
      <c r="C560" s="15" t="n"/>
      <c r="D560" s="15" t="n"/>
      <c r="E560" s="15" t="n"/>
      <c r="F560" s="15" t="n"/>
      <c r="G560" s="15" t="n"/>
      <c r="H560" s="15" t="n"/>
      <c r="I560" s="15" t="n"/>
    </row>
    <row r="561" ht="15.75" customHeight="1" s="48">
      <c r="A561" s="15" t="n"/>
      <c r="B561" s="15" t="n"/>
      <c r="C561" s="15" t="n"/>
      <c r="D561" s="15" t="n"/>
      <c r="E561" s="15" t="n"/>
      <c r="F561" s="15" t="n"/>
      <c r="G561" s="15" t="n"/>
      <c r="H561" s="15" t="n"/>
      <c r="I561" s="15" t="n"/>
    </row>
    <row r="562" ht="15.75" customHeight="1" s="48">
      <c r="A562" s="15" t="n"/>
      <c r="B562" s="15" t="n"/>
      <c r="C562" s="15" t="n"/>
      <c r="D562" s="15" t="n"/>
      <c r="E562" s="15" t="n"/>
      <c r="F562" s="15" t="n"/>
      <c r="G562" s="15" t="n"/>
      <c r="H562" s="15" t="n"/>
      <c r="I562" s="15" t="n"/>
    </row>
    <row r="563" ht="15.75" customHeight="1" s="48">
      <c r="A563" s="15" t="n"/>
      <c r="B563" s="15" t="n"/>
      <c r="C563" s="15" t="n"/>
      <c r="D563" s="15" t="n"/>
      <c r="E563" s="15" t="n"/>
      <c r="F563" s="15" t="n"/>
      <c r="G563" s="15" t="n"/>
      <c r="H563" s="15" t="n"/>
      <c r="I563" s="15" t="n"/>
    </row>
    <row r="564" ht="15.75" customHeight="1" s="48">
      <c r="A564" s="15" t="n"/>
      <c r="B564" s="15" t="n"/>
      <c r="C564" s="15" t="n"/>
      <c r="D564" s="15" t="n"/>
      <c r="E564" s="15" t="n"/>
      <c r="F564" s="15" t="n"/>
      <c r="G564" s="15" t="n"/>
      <c r="H564" s="15" t="n"/>
      <c r="I564" s="15" t="n"/>
    </row>
    <row r="565" ht="15.75" customHeight="1" s="48">
      <c r="A565" s="15" t="n"/>
      <c r="B565" s="15" t="n"/>
      <c r="C565" s="15" t="n"/>
      <c r="D565" s="15" t="n"/>
      <c r="E565" s="15" t="n"/>
      <c r="F565" s="15" t="n"/>
      <c r="G565" s="15" t="n"/>
      <c r="H565" s="15" t="n"/>
      <c r="I565" s="15" t="n"/>
    </row>
    <row r="566" ht="15.75" customHeight="1" s="48">
      <c r="A566" s="15" t="n"/>
      <c r="B566" s="15" t="n"/>
      <c r="C566" s="15" t="n"/>
      <c r="D566" s="15" t="n"/>
      <c r="E566" s="15" t="n"/>
      <c r="F566" s="15" t="n"/>
      <c r="G566" s="15" t="n"/>
      <c r="H566" s="15" t="n"/>
      <c r="I566" s="15" t="n"/>
    </row>
    <row r="567" ht="15.75" customHeight="1" s="48">
      <c r="A567" s="15" t="n"/>
      <c r="B567" s="15" t="n"/>
      <c r="C567" s="15" t="n"/>
      <c r="D567" s="15" t="n"/>
      <c r="E567" s="15" t="n"/>
      <c r="F567" s="15" t="n"/>
      <c r="G567" s="15" t="n"/>
      <c r="H567" s="15" t="n"/>
      <c r="I567" s="15" t="n"/>
    </row>
    <row r="568" ht="15.75" customHeight="1" s="48">
      <c r="A568" s="15" t="n"/>
      <c r="B568" s="15" t="n"/>
      <c r="C568" s="15" t="n"/>
      <c r="D568" s="15" t="n"/>
      <c r="E568" s="15" t="n"/>
      <c r="F568" s="15" t="n"/>
      <c r="G568" s="15" t="n"/>
      <c r="H568" s="15" t="n"/>
      <c r="I568" s="15" t="n"/>
    </row>
    <row r="569" ht="15.75" customHeight="1" s="48">
      <c r="A569" s="15" t="n"/>
      <c r="B569" s="15" t="n"/>
      <c r="C569" s="15" t="n"/>
      <c r="D569" s="15" t="n"/>
      <c r="E569" s="15" t="n"/>
      <c r="F569" s="15" t="n"/>
      <c r="G569" s="15" t="n"/>
      <c r="H569" s="15" t="n"/>
      <c r="I569" s="15" t="n"/>
    </row>
    <row r="570" ht="15.75" customHeight="1" s="48">
      <c r="A570" s="15" t="n"/>
      <c r="B570" s="15" t="n"/>
      <c r="C570" s="15" t="n"/>
      <c r="D570" s="15" t="n"/>
      <c r="E570" s="15" t="n"/>
      <c r="F570" s="15" t="n"/>
      <c r="G570" s="15" t="n"/>
      <c r="H570" s="15" t="n"/>
      <c r="I570" s="15" t="n"/>
    </row>
    <row r="571" ht="15.75" customHeight="1" s="48">
      <c r="A571" s="15" t="n"/>
      <c r="B571" s="15" t="n"/>
      <c r="C571" s="15" t="n"/>
      <c r="D571" s="15" t="n"/>
      <c r="E571" s="15" t="n"/>
      <c r="F571" s="15" t="n"/>
      <c r="G571" s="15" t="n"/>
      <c r="H571" s="15" t="n"/>
      <c r="I571" s="15" t="n"/>
    </row>
    <row r="572" ht="15.75" customHeight="1" s="48">
      <c r="A572" s="15" t="n"/>
      <c r="B572" s="15" t="n"/>
      <c r="C572" s="15" t="n"/>
      <c r="D572" s="15" t="n"/>
      <c r="E572" s="15" t="n"/>
      <c r="F572" s="15" t="n"/>
      <c r="G572" s="15" t="n"/>
      <c r="H572" s="15" t="n"/>
      <c r="I572" s="15" t="n"/>
    </row>
    <row r="573" ht="15.75" customHeight="1" s="48">
      <c r="A573" s="15" t="n"/>
      <c r="B573" s="15" t="n"/>
      <c r="C573" s="15" t="n"/>
      <c r="D573" s="15" t="n"/>
      <c r="E573" s="15" t="n"/>
      <c r="F573" s="15" t="n"/>
      <c r="G573" s="15" t="n"/>
      <c r="H573" s="15" t="n"/>
      <c r="I573" s="15" t="n"/>
    </row>
    <row r="574" ht="15.75" customHeight="1" s="48">
      <c r="A574" s="15" t="n"/>
      <c r="B574" s="15" t="n"/>
      <c r="C574" s="15" t="n"/>
      <c r="D574" s="15" t="n"/>
      <c r="E574" s="15" t="n"/>
      <c r="F574" s="15" t="n"/>
      <c r="G574" s="15" t="n"/>
      <c r="H574" s="15" t="n"/>
      <c r="I574" s="15" t="n"/>
    </row>
    <row r="575" ht="15.75" customHeight="1" s="48">
      <c r="A575" s="15" t="n"/>
      <c r="B575" s="15" t="n"/>
      <c r="C575" s="15" t="n"/>
      <c r="D575" s="15" t="n"/>
      <c r="E575" s="15" t="n"/>
      <c r="F575" s="15" t="n"/>
      <c r="G575" s="15" t="n"/>
      <c r="H575" s="15" t="n"/>
      <c r="I575" s="15" t="n"/>
    </row>
    <row r="576" ht="15.75" customHeight="1" s="48">
      <c r="A576" s="15" t="n"/>
      <c r="B576" s="15" t="n"/>
      <c r="C576" s="15" t="n"/>
      <c r="D576" s="15" t="n"/>
      <c r="E576" s="15" t="n"/>
      <c r="F576" s="15" t="n"/>
      <c r="G576" s="15" t="n"/>
      <c r="H576" s="15" t="n"/>
      <c r="I576" s="15" t="n"/>
    </row>
    <row r="577" ht="15.75" customHeight="1" s="48">
      <c r="A577" s="15" t="n"/>
      <c r="B577" s="15" t="n"/>
      <c r="C577" s="15" t="n"/>
      <c r="D577" s="15" t="n"/>
      <c r="E577" s="15" t="n"/>
      <c r="F577" s="15" t="n"/>
      <c r="G577" s="15" t="n"/>
      <c r="H577" s="15" t="n"/>
      <c r="I577" s="15" t="n"/>
    </row>
    <row r="578" ht="15.75" customHeight="1" s="48">
      <c r="A578" s="15" t="n"/>
      <c r="B578" s="15" t="n"/>
      <c r="C578" s="15" t="n"/>
      <c r="D578" s="15" t="n"/>
      <c r="E578" s="15" t="n"/>
      <c r="F578" s="15" t="n"/>
      <c r="G578" s="15" t="n"/>
      <c r="H578" s="15" t="n"/>
      <c r="I578" s="15" t="n"/>
    </row>
    <row r="579" ht="15.75" customHeight="1" s="48">
      <c r="A579" s="15" t="n"/>
      <c r="B579" s="15" t="n"/>
      <c r="C579" s="15" t="n"/>
      <c r="D579" s="15" t="n"/>
      <c r="E579" s="15" t="n"/>
      <c r="F579" s="15" t="n"/>
      <c r="G579" s="15" t="n"/>
      <c r="H579" s="15" t="n"/>
      <c r="I579" s="15" t="n"/>
    </row>
    <row r="580" ht="15.75" customHeight="1" s="48">
      <c r="A580" s="15" t="n"/>
      <c r="B580" s="15" t="n"/>
      <c r="C580" s="15" t="n"/>
      <c r="D580" s="15" t="n"/>
      <c r="E580" s="15" t="n"/>
      <c r="F580" s="15" t="n"/>
      <c r="G580" s="15" t="n"/>
      <c r="H580" s="15" t="n"/>
      <c r="I580" s="15" t="n"/>
    </row>
    <row r="581" ht="15.75" customHeight="1" s="48">
      <c r="A581" s="15" t="n"/>
      <c r="B581" s="15" t="n"/>
      <c r="C581" s="15" t="n"/>
      <c r="D581" s="15" t="n"/>
      <c r="E581" s="15" t="n"/>
      <c r="F581" s="15" t="n"/>
      <c r="G581" s="15" t="n"/>
      <c r="H581" s="15" t="n"/>
      <c r="I581" s="15" t="n"/>
    </row>
    <row r="582" ht="15.75" customHeight="1" s="48">
      <c r="A582" s="15" t="n"/>
      <c r="B582" s="15" t="n"/>
      <c r="C582" s="15" t="n"/>
      <c r="D582" s="15" t="n"/>
      <c r="E582" s="15" t="n"/>
      <c r="F582" s="15" t="n"/>
      <c r="G582" s="15" t="n"/>
      <c r="H582" s="15" t="n"/>
      <c r="I582" s="15" t="n"/>
    </row>
    <row r="583" ht="15.75" customHeight="1" s="48">
      <c r="A583" s="15" t="n"/>
      <c r="B583" s="15" t="n"/>
      <c r="C583" s="15" t="n"/>
      <c r="D583" s="15" t="n"/>
      <c r="E583" s="15" t="n"/>
      <c r="F583" s="15" t="n"/>
      <c r="G583" s="15" t="n"/>
      <c r="H583" s="15" t="n"/>
      <c r="I583" s="15" t="n"/>
    </row>
    <row r="584" ht="15.75" customHeight="1" s="48">
      <c r="A584" s="15" t="n"/>
      <c r="B584" s="15" t="n"/>
      <c r="C584" s="15" t="n"/>
      <c r="D584" s="15" t="n"/>
      <c r="E584" s="15" t="n"/>
      <c r="F584" s="15" t="n"/>
      <c r="G584" s="15" t="n"/>
      <c r="H584" s="15" t="n"/>
      <c r="I584" s="15" t="n"/>
    </row>
    <row r="585" ht="15.75" customHeight="1" s="48">
      <c r="A585" s="15" t="n"/>
      <c r="B585" s="15" t="n"/>
      <c r="C585" s="15" t="n"/>
      <c r="D585" s="15" t="n"/>
      <c r="E585" s="15" t="n"/>
      <c r="F585" s="15" t="n"/>
      <c r="G585" s="15" t="n"/>
      <c r="H585" s="15" t="n"/>
      <c r="I585" s="15" t="n"/>
    </row>
    <row r="586" ht="15.75" customHeight="1" s="48">
      <c r="A586" s="15" t="n"/>
      <c r="B586" s="15" t="n"/>
      <c r="C586" s="15" t="n"/>
      <c r="D586" s="15" t="n"/>
      <c r="E586" s="15" t="n"/>
      <c r="F586" s="15" t="n"/>
      <c r="G586" s="15" t="n"/>
      <c r="H586" s="15" t="n"/>
      <c r="I586" s="15" t="n"/>
    </row>
    <row r="587" ht="15.75" customHeight="1" s="48">
      <c r="A587" s="15" t="n"/>
      <c r="B587" s="15" t="n"/>
      <c r="C587" s="15" t="n"/>
      <c r="D587" s="15" t="n"/>
      <c r="E587" s="15" t="n"/>
      <c r="F587" s="15" t="n"/>
      <c r="G587" s="15" t="n"/>
      <c r="H587" s="15" t="n"/>
      <c r="I587" s="15" t="n"/>
    </row>
    <row r="588" ht="15.75" customHeight="1" s="48">
      <c r="A588" s="15" t="n"/>
      <c r="B588" s="15" t="n"/>
      <c r="C588" s="15" t="n"/>
      <c r="D588" s="15" t="n"/>
      <c r="E588" s="15" t="n"/>
      <c r="F588" s="15" t="n"/>
      <c r="G588" s="15" t="n"/>
      <c r="H588" s="15" t="n"/>
      <c r="I588" s="15" t="n"/>
    </row>
    <row r="589" ht="15.75" customHeight="1" s="48">
      <c r="A589" s="15" t="n"/>
      <c r="B589" s="15" t="n"/>
      <c r="C589" s="15" t="n"/>
      <c r="D589" s="15" t="n"/>
      <c r="E589" s="15" t="n"/>
      <c r="F589" s="15" t="n"/>
      <c r="G589" s="15" t="n"/>
      <c r="H589" s="15" t="n"/>
      <c r="I589" s="15" t="n"/>
    </row>
    <row r="590" ht="15.75" customHeight="1" s="48">
      <c r="A590" s="15" t="n"/>
      <c r="B590" s="15" t="n"/>
      <c r="C590" s="15" t="n"/>
      <c r="D590" s="15" t="n"/>
      <c r="E590" s="15" t="n"/>
      <c r="F590" s="15" t="n"/>
      <c r="G590" s="15" t="n"/>
      <c r="H590" s="15" t="n"/>
      <c r="I590" s="15" t="n"/>
    </row>
    <row r="591" ht="15.75" customHeight="1" s="48">
      <c r="A591" s="15" t="n"/>
      <c r="B591" s="15" t="n"/>
      <c r="C591" s="15" t="n"/>
      <c r="D591" s="15" t="n"/>
      <c r="E591" s="15" t="n"/>
      <c r="F591" s="15" t="n"/>
      <c r="G591" s="15" t="n"/>
      <c r="H591" s="15" t="n"/>
      <c r="I591" s="15" t="n"/>
    </row>
    <row r="592" ht="15.75" customHeight="1" s="48">
      <c r="A592" s="15" t="n"/>
      <c r="B592" s="15" t="n"/>
      <c r="C592" s="15" t="n"/>
      <c r="D592" s="15" t="n"/>
      <c r="E592" s="15" t="n"/>
      <c r="F592" s="15" t="n"/>
      <c r="G592" s="15" t="n"/>
      <c r="H592" s="15" t="n"/>
      <c r="I592" s="15" t="n"/>
    </row>
    <row r="593" ht="15.75" customHeight="1" s="48">
      <c r="A593" s="15" t="n"/>
      <c r="B593" s="15" t="n"/>
      <c r="C593" s="15" t="n"/>
      <c r="D593" s="15" t="n"/>
      <c r="E593" s="15" t="n"/>
      <c r="F593" s="15" t="n"/>
      <c r="G593" s="15" t="n"/>
      <c r="H593" s="15" t="n"/>
      <c r="I593" s="15" t="n"/>
    </row>
    <row r="594" ht="15.75" customHeight="1" s="48">
      <c r="A594" s="15" t="n"/>
      <c r="B594" s="15" t="n"/>
      <c r="C594" s="15" t="n"/>
      <c r="D594" s="15" t="n"/>
      <c r="E594" s="15" t="n"/>
      <c r="F594" s="15" t="n"/>
      <c r="G594" s="15" t="n"/>
      <c r="H594" s="15" t="n"/>
      <c r="I594" s="15" t="n"/>
    </row>
    <row r="595" ht="15.75" customHeight="1" s="48">
      <c r="A595" s="15" t="n"/>
      <c r="B595" s="15" t="n"/>
      <c r="C595" s="15" t="n"/>
      <c r="D595" s="15" t="n"/>
      <c r="E595" s="15" t="n"/>
      <c r="F595" s="15" t="n"/>
      <c r="G595" s="15" t="n"/>
      <c r="H595" s="15" t="n"/>
      <c r="I595" s="15" t="n"/>
    </row>
    <row r="596" ht="15.75" customHeight="1" s="48">
      <c r="A596" s="15" t="n"/>
      <c r="B596" s="15" t="n"/>
      <c r="C596" s="15" t="n"/>
      <c r="D596" s="15" t="n"/>
      <c r="E596" s="15" t="n"/>
      <c r="F596" s="15" t="n"/>
      <c r="G596" s="15" t="n"/>
      <c r="H596" s="15" t="n"/>
      <c r="I596" s="15" t="n"/>
    </row>
    <row r="597" ht="15.75" customHeight="1" s="48">
      <c r="A597" s="15" t="n"/>
      <c r="B597" s="15" t="n"/>
      <c r="C597" s="15" t="n"/>
      <c r="D597" s="15" t="n"/>
      <c r="E597" s="15" t="n"/>
      <c r="F597" s="15" t="n"/>
      <c r="G597" s="15" t="n"/>
      <c r="H597" s="15" t="n"/>
      <c r="I597" s="15" t="n"/>
    </row>
    <row r="598" ht="15.75" customHeight="1" s="48">
      <c r="A598" s="15" t="n"/>
      <c r="B598" s="15" t="n"/>
      <c r="C598" s="15" t="n"/>
      <c r="D598" s="15" t="n"/>
      <c r="E598" s="15" t="n"/>
      <c r="F598" s="15" t="n"/>
      <c r="G598" s="15" t="n"/>
      <c r="H598" s="15" t="n"/>
      <c r="I598" s="15" t="n"/>
    </row>
    <row r="599" ht="15.75" customHeight="1" s="48">
      <c r="A599" s="15" t="n"/>
      <c r="B599" s="15" t="n"/>
      <c r="C599" s="15" t="n"/>
      <c r="D599" s="15" t="n"/>
      <c r="E599" s="15" t="n"/>
      <c r="F599" s="15" t="n"/>
      <c r="G599" s="15" t="n"/>
      <c r="H599" s="15" t="n"/>
      <c r="I599" s="15" t="n"/>
    </row>
    <row r="600" ht="15.75" customHeight="1" s="48">
      <c r="A600" s="15" t="n"/>
      <c r="B600" s="15" t="n"/>
      <c r="C600" s="15" t="n"/>
      <c r="D600" s="15" t="n"/>
      <c r="E600" s="15" t="n"/>
      <c r="F600" s="15" t="n"/>
      <c r="G600" s="15" t="n"/>
      <c r="H600" s="15" t="n"/>
      <c r="I600" s="15" t="n"/>
    </row>
    <row r="601" ht="15.75" customHeight="1" s="48">
      <c r="A601" s="15" t="n"/>
      <c r="B601" s="15" t="n"/>
      <c r="C601" s="15" t="n"/>
      <c r="D601" s="15" t="n"/>
      <c r="E601" s="15" t="n"/>
      <c r="F601" s="15" t="n"/>
      <c r="G601" s="15" t="n"/>
      <c r="H601" s="15" t="n"/>
      <c r="I601" s="15" t="n"/>
    </row>
    <row r="602" ht="15.75" customHeight="1" s="48">
      <c r="A602" s="15" t="n"/>
      <c r="B602" s="15" t="n"/>
      <c r="C602" s="15" t="n"/>
      <c r="D602" s="15" t="n"/>
      <c r="E602" s="15" t="n"/>
      <c r="F602" s="15" t="n"/>
      <c r="G602" s="15" t="n"/>
      <c r="H602" s="15" t="n"/>
      <c r="I602" s="15" t="n"/>
    </row>
    <row r="603" ht="15.75" customHeight="1" s="48">
      <c r="A603" s="15" t="n"/>
      <c r="B603" s="15" t="n"/>
      <c r="C603" s="15" t="n"/>
      <c r="D603" s="15" t="n"/>
      <c r="E603" s="15" t="n"/>
      <c r="F603" s="15" t="n"/>
      <c r="G603" s="15" t="n"/>
      <c r="H603" s="15" t="n"/>
      <c r="I603" s="15" t="n"/>
    </row>
    <row r="604" ht="15.75" customHeight="1" s="48">
      <c r="A604" s="15" t="n"/>
      <c r="B604" s="15" t="n"/>
      <c r="C604" s="15" t="n"/>
      <c r="D604" s="15" t="n"/>
      <c r="E604" s="15" t="n"/>
      <c r="F604" s="15" t="n"/>
      <c r="G604" s="15" t="n"/>
      <c r="H604" s="15" t="n"/>
      <c r="I604" s="15" t="n"/>
    </row>
    <row r="605" ht="15.75" customHeight="1" s="48">
      <c r="A605" s="15" t="n"/>
      <c r="B605" s="15" t="n"/>
      <c r="C605" s="15" t="n"/>
      <c r="D605" s="15" t="n"/>
      <c r="E605" s="15" t="n"/>
      <c r="F605" s="15" t="n"/>
      <c r="G605" s="15" t="n"/>
      <c r="H605" s="15" t="n"/>
      <c r="I605" s="15" t="n"/>
    </row>
    <row r="606" ht="15.75" customHeight="1" s="48">
      <c r="A606" s="15" t="n"/>
      <c r="B606" s="15" t="n"/>
      <c r="C606" s="15" t="n"/>
      <c r="D606" s="15" t="n"/>
      <c r="E606" s="15" t="n"/>
      <c r="F606" s="15" t="n"/>
      <c r="G606" s="15" t="n"/>
      <c r="H606" s="15" t="n"/>
      <c r="I606" s="15" t="n"/>
    </row>
    <row r="607" ht="15.75" customHeight="1" s="48">
      <c r="A607" s="15" t="n"/>
      <c r="B607" s="15" t="n"/>
      <c r="C607" s="15" t="n"/>
      <c r="D607" s="15" t="n"/>
      <c r="E607" s="15" t="n"/>
      <c r="F607" s="15" t="n"/>
      <c r="G607" s="15" t="n"/>
      <c r="H607" s="15" t="n"/>
      <c r="I607" s="15" t="n"/>
    </row>
    <row r="608" ht="15.75" customHeight="1" s="48">
      <c r="A608" s="15" t="n"/>
      <c r="B608" s="15" t="n"/>
      <c r="C608" s="15" t="n"/>
      <c r="D608" s="15" t="n"/>
      <c r="E608" s="15" t="n"/>
      <c r="F608" s="15" t="n"/>
      <c r="G608" s="15" t="n"/>
      <c r="H608" s="15" t="n"/>
      <c r="I608" s="15" t="n"/>
    </row>
    <row r="609" ht="15.75" customHeight="1" s="48">
      <c r="A609" s="15" t="n"/>
      <c r="B609" s="15" t="n"/>
      <c r="C609" s="15" t="n"/>
      <c r="D609" s="15" t="n"/>
      <c r="E609" s="15" t="n"/>
      <c r="F609" s="15" t="n"/>
      <c r="G609" s="15" t="n"/>
      <c r="H609" s="15" t="n"/>
      <c r="I609" s="15" t="n"/>
    </row>
    <row r="610" ht="15.75" customHeight="1" s="48">
      <c r="A610" s="15" t="n"/>
      <c r="B610" s="15" t="n"/>
      <c r="C610" s="15" t="n"/>
      <c r="D610" s="15" t="n"/>
      <c r="E610" s="15" t="n"/>
      <c r="F610" s="15" t="n"/>
      <c r="G610" s="15" t="n"/>
      <c r="H610" s="15" t="n"/>
      <c r="I610" s="15" t="n"/>
    </row>
    <row r="611" ht="15.75" customHeight="1" s="48">
      <c r="A611" s="15" t="n"/>
      <c r="B611" s="15" t="n"/>
      <c r="C611" s="15" t="n"/>
      <c r="D611" s="15" t="n"/>
      <c r="E611" s="15" t="n"/>
      <c r="F611" s="15" t="n"/>
      <c r="G611" s="15" t="n"/>
      <c r="H611" s="15" t="n"/>
      <c r="I611" s="15" t="n"/>
    </row>
    <row r="612" ht="15.75" customHeight="1" s="48">
      <c r="A612" s="15" t="n"/>
      <c r="B612" s="15" t="n"/>
      <c r="C612" s="15" t="n"/>
      <c r="D612" s="15" t="n"/>
      <c r="E612" s="15" t="n"/>
      <c r="F612" s="15" t="n"/>
      <c r="G612" s="15" t="n"/>
      <c r="H612" s="15" t="n"/>
      <c r="I612" s="15" t="n"/>
    </row>
    <row r="613" ht="15.75" customHeight="1" s="48">
      <c r="A613" s="15" t="n"/>
      <c r="B613" s="15" t="n"/>
      <c r="C613" s="15" t="n"/>
      <c r="D613" s="15" t="n"/>
      <c r="E613" s="15" t="n"/>
      <c r="F613" s="15" t="n"/>
      <c r="G613" s="15" t="n"/>
      <c r="H613" s="15" t="n"/>
      <c r="I613" s="15" t="n"/>
    </row>
    <row r="614" ht="15.75" customHeight="1" s="48">
      <c r="A614" s="15" t="n"/>
      <c r="B614" s="15" t="n"/>
      <c r="C614" s="15" t="n"/>
      <c r="D614" s="15" t="n"/>
      <c r="E614" s="15" t="n"/>
      <c r="F614" s="15" t="n"/>
      <c r="G614" s="15" t="n"/>
      <c r="H614" s="15" t="n"/>
      <c r="I614" s="15" t="n"/>
    </row>
    <row r="615" ht="15.75" customHeight="1" s="48">
      <c r="A615" s="15" t="n"/>
      <c r="B615" s="15" t="n"/>
      <c r="C615" s="15" t="n"/>
      <c r="D615" s="15" t="n"/>
      <c r="E615" s="15" t="n"/>
      <c r="F615" s="15" t="n"/>
      <c r="G615" s="15" t="n"/>
      <c r="H615" s="15" t="n"/>
      <c r="I615" s="15" t="n"/>
    </row>
    <row r="616" ht="15.75" customHeight="1" s="48">
      <c r="A616" s="15" t="n"/>
      <c r="B616" s="15" t="n"/>
      <c r="C616" s="15" t="n"/>
      <c r="D616" s="15" t="n"/>
      <c r="E616" s="15" t="n"/>
      <c r="F616" s="15" t="n"/>
      <c r="G616" s="15" t="n"/>
      <c r="H616" s="15" t="n"/>
      <c r="I616" s="15" t="n"/>
    </row>
    <row r="617" ht="15.75" customHeight="1" s="48">
      <c r="A617" s="15" t="n"/>
      <c r="B617" s="15" t="n"/>
      <c r="C617" s="15" t="n"/>
      <c r="D617" s="15" t="n"/>
      <c r="E617" s="15" t="n"/>
      <c r="F617" s="15" t="n"/>
      <c r="G617" s="15" t="n"/>
      <c r="H617" s="15" t="n"/>
      <c r="I617" s="15" t="n"/>
    </row>
    <row r="618" ht="15.75" customHeight="1" s="48">
      <c r="A618" s="15" t="n"/>
      <c r="B618" s="15" t="n"/>
      <c r="C618" s="15" t="n"/>
      <c r="D618" s="15" t="n"/>
      <c r="E618" s="15" t="n"/>
      <c r="F618" s="15" t="n"/>
      <c r="G618" s="15" t="n"/>
      <c r="H618" s="15" t="n"/>
      <c r="I618" s="15" t="n"/>
    </row>
    <row r="619" ht="15.75" customHeight="1" s="48">
      <c r="A619" s="15" t="n"/>
      <c r="B619" s="15" t="n"/>
      <c r="C619" s="15" t="n"/>
      <c r="D619" s="15" t="n"/>
      <c r="E619" s="15" t="n"/>
      <c r="F619" s="15" t="n"/>
      <c r="G619" s="15" t="n"/>
      <c r="H619" s="15" t="n"/>
      <c r="I619" s="15" t="n"/>
    </row>
    <row r="620" ht="15.75" customHeight="1" s="48">
      <c r="A620" s="15" t="n"/>
      <c r="B620" s="15" t="n"/>
      <c r="C620" s="15" t="n"/>
      <c r="D620" s="15" t="n"/>
      <c r="E620" s="15" t="n"/>
      <c r="F620" s="15" t="n"/>
      <c r="G620" s="15" t="n"/>
      <c r="H620" s="15" t="n"/>
      <c r="I620" s="15" t="n"/>
    </row>
    <row r="621" ht="15.75" customHeight="1" s="48">
      <c r="A621" s="15" t="n"/>
      <c r="B621" s="15" t="n"/>
      <c r="C621" s="15" t="n"/>
      <c r="D621" s="15" t="n"/>
      <c r="E621" s="15" t="n"/>
      <c r="F621" s="15" t="n"/>
      <c r="G621" s="15" t="n"/>
      <c r="H621" s="15" t="n"/>
      <c r="I621" s="15" t="n"/>
    </row>
    <row r="622" ht="15.75" customHeight="1" s="48">
      <c r="A622" s="15" t="n"/>
      <c r="B622" s="15" t="n"/>
      <c r="C622" s="15" t="n"/>
      <c r="D622" s="15" t="n"/>
      <c r="E622" s="15" t="n"/>
      <c r="F622" s="15" t="n"/>
      <c r="G622" s="15" t="n"/>
      <c r="H622" s="15" t="n"/>
      <c r="I622" s="15" t="n"/>
    </row>
    <row r="623" ht="15.75" customHeight="1" s="48">
      <c r="A623" s="15" t="n"/>
      <c r="B623" s="15" t="n"/>
      <c r="C623" s="15" t="n"/>
      <c r="D623" s="15" t="n"/>
      <c r="E623" s="15" t="n"/>
      <c r="F623" s="15" t="n"/>
      <c r="G623" s="15" t="n"/>
      <c r="H623" s="15" t="n"/>
      <c r="I623" s="15" t="n"/>
    </row>
    <row r="624" ht="15.75" customHeight="1" s="48">
      <c r="A624" s="15" t="n"/>
      <c r="B624" s="15" t="n"/>
      <c r="C624" s="15" t="n"/>
      <c r="D624" s="15" t="n"/>
      <c r="E624" s="15" t="n"/>
      <c r="F624" s="15" t="n"/>
      <c r="G624" s="15" t="n"/>
      <c r="H624" s="15" t="n"/>
      <c r="I624" s="15" t="n"/>
    </row>
    <row r="625" ht="15.75" customHeight="1" s="48">
      <c r="A625" s="15" t="n"/>
      <c r="B625" s="15" t="n"/>
      <c r="C625" s="15" t="n"/>
      <c r="D625" s="15" t="n"/>
      <c r="E625" s="15" t="n"/>
      <c r="F625" s="15" t="n"/>
      <c r="G625" s="15" t="n"/>
      <c r="H625" s="15" t="n"/>
      <c r="I625" s="15" t="n"/>
    </row>
    <row r="626" ht="15.75" customHeight="1" s="48">
      <c r="A626" s="15" t="n"/>
      <c r="B626" s="15" t="n"/>
      <c r="C626" s="15" t="n"/>
      <c r="D626" s="15" t="n"/>
      <c r="E626" s="15" t="n"/>
      <c r="F626" s="15" t="n"/>
      <c r="G626" s="15" t="n"/>
      <c r="H626" s="15" t="n"/>
      <c r="I626" s="15" t="n"/>
    </row>
    <row r="627" ht="15.75" customHeight="1" s="48">
      <c r="A627" s="15" t="n"/>
      <c r="B627" s="15" t="n"/>
      <c r="C627" s="15" t="n"/>
      <c r="D627" s="15" t="n"/>
      <c r="E627" s="15" t="n"/>
      <c r="F627" s="15" t="n"/>
      <c r="G627" s="15" t="n"/>
      <c r="H627" s="15" t="n"/>
      <c r="I627" s="15" t="n"/>
    </row>
    <row r="628" ht="15.75" customHeight="1" s="48">
      <c r="A628" s="15" t="n"/>
      <c r="B628" s="15" t="n"/>
      <c r="C628" s="15" t="n"/>
      <c r="D628" s="15" t="n"/>
      <c r="E628" s="15" t="n"/>
      <c r="F628" s="15" t="n"/>
      <c r="G628" s="15" t="n"/>
      <c r="H628" s="15" t="n"/>
      <c r="I628" s="15" t="n"/>
    </row>
    <row r="629" ht="15.75" customHeight="1" s="48">
      <c r="A629" s="15" t="n"/>
      <c r="B629" s="15" t="n"/>
      <c r="C629" s="15" t="n"/>
      <c r="D629" s="15" t="n"/>
      <c r="E629" s="15" t="n"/>
      <c r="F629" s="15" t="n"/>
      <c r="G629" s="15" t="n"/>
      <c r="H629" s="15" t="n"/>
      <c r="I629" s="15" t="n"/>
    </row>
    <row r="630" ht="15.75" customHeight="1" s="48">
      <c r="A630" s="15" t="n"/>
      <c r="B630" s="15" t="n"/>
      <c r="C630" s="15" t="n"/>
      <c r="D630" s="15" t="n"/>
      <c r="E630" s="15" t="n"/>
      <c r="F630" s="15" t="n"/>
      <c r="G630" s="15" t="n"/>
      <c r="H630" s="15" t="n"/>
      <c r="I630" s="15" t="n"/>
    </row>
    <row r="631" ht="15.75" customHeight="1" s="48">
      <c r="A631" s="15" t="n"/>
      <c r="B631" s="15" t="n"/>
      <c r="C631" s="15" t="n"/>
      <c r="D631" s="15" t="n"/>
      <c r="E631" s="15" t="n"/>
      <c r="F631" s="15" t="n"/>
      <c r="G631" s="15" t="n"/>
      <c r="H631" s="15" t="n"/>
      <c r="I631" s="15" t="n"/>
    </row>
    <row r="632" ht="15.75" customHeight="1" s="48">
      <c r="A632" s="15" t="n"/>
      <c r="B632" s="15" t="n"/>
      <c r="C632" s="15" t="n"/>
      <c r="D632" s="15" t="n"/>
      <c r="E632" s="15" t="n"/>
      <c r="F632" s="15" t="n"/>
      <c r="G632" s="15" t="n"/>
      <c r="H632" s="15" t="n"/>
      <c r="I632" s="15" t="n"/>
    </row>
    <row r="633" ht="15.75" customHeight="1" s="48">
      <c r="A633" s="15" t="n"/>
      <c r="B633" s="15" t="n"/>
      <c r="C633" s="15" t="n"/>
      <c r="D633" s="15" t="n"/>
      <c r="E633" s="15" t="n"/>
      <c r="F633" s="15" t="n"/>
      <c r="G633" s="15" t="n"/>
      <c r="H633" s="15" t="n"/>
      <c r="I633" s="15" t="n"/>
    </row>
    <row r="634" ht="15.75" customHeight="1" s="48">
      <c r="A634" s="15" t="n"/>
      <c r="B634" s="15" t="n"/>
      <c r="C634" s="15" t="n"/>
      <c r="D634" s="15" t="n"/>
      <c r="E634" s="15" t="n"/>
      <c r="F634" s="15" t="n"/>
      <c r="G634" s="15" t="n"/>
      <c r="H634" s="15" t="n"/>
      <c r="I634" s="15" t="n"/>
    </row>
    <row r="635" ht="15.75" customHeight="1" s="48">
      <c r="A635" s="15" t="n"/>
      <c r="B635" s="15" t="n"/>
      <c r="C635" s="15" t="n"/>
      <c r="D635" s="15" t="n"/>
      <c r="E635" s="15" t="n"/>
      <c r="F635" s="15" t="n"/>
      <c r="G635" s="15" t="n"/>
      <c r="H635" s="15" t="n"/>
      <c r="I635" s="15" t="n"/>
    </row>
    <row r="636" ht="15.75" customHeight="1" s="48">
      <c r="A636" s="15" t="n"/>
      <c r="B636" s="15" t="n"/>
      <c r="C636" s="15" t="n"/>
      <c r="D636" s="15" t="n"/>
      <c r="E636" s="15" t="n"/>
      <c r="F636" s="15" t="n"/>
      <c r="G636" s="15" t="n"/>
      <c r="H636" s="15" t="n"/>
      <c r="I636" s="15" t="n"/>
    </row>
    <row r="637" ht="15.75" customHeight="1" s="48">
      <c r="A637" s="15" t="n"/>
      <c r="B637" s="15" t="n"/>
      <c r="C637" s="15" t="n"/>
      <c r="D637" s="15" t="n"/>
      <c r="E637" s="15" t="n"/>
      <c r="F637" s="15" t="n"/>
      <c r="G637" s="15" t="n"/>
      <c r="H637" s="15" t="n"/>
      <c r="I637" s="15" t="n"/>
    </row>
    <row r="638" ht="15.75" customHeight="1" s="48">
      <c r="A638" s="15" t="n"/>
      <c r="B638" s="15" t="n"/>
      <c r="C638" s="15" t="n"/>
      <c r="D638" s="15" t="n"/>
      <c r="E638" s="15" t="n"/>
      <c r="F638" s="15" t="n"/>
      <c r="G638" s="15" t="n"/>
      <c r="H638" s="15" t="n"/>
      <c r="I638" s="15" t="n"/>
    </row>
    <row r="639" ht="15.75" customHeight="1" s="48">
      <c r="A639" s="15" t="n"/>
      <c r="B639" s="15" t="n"/>
      <c r="C639" s="15" t="n"/>
      <c r="D639" s="15" t="n"/>
      <c r="E639" s="15" t="n"/>
      <c r="F639" s="15" t="n"/>
      <c r="G639" s="15" t="n"/>
      <c r="H639" s="15" t="n"/>
      <c r="I639" s="15" t="n"/>
    </row>
    <row r="640" ht="15.75" customHeight="1" s="48">
      <c r="A640" s="15" t="n"/>
      <c r="B640" s="15" t="n"/>
      <c r="C640" s="15" t="n"/>
      <c r="D640" s="15" t="n"/>
      <c r="E640" s="15" t="n"/>
      <c r="F640" s="15" t="n"/>
      <c r="G640" s="15" t="n"/>
      <c r="H640" s="15" t="n"/>
      <c r="I640" s="15" t="n"/>
    </row>
    <row r="641" ht="15.75" customHeight="1" s="48">
      <c r="A641" s="15" t="n"/>
      <c r="B641" s="15" t="n"/>
      <c r="C641" s="15" t="n"/>
      <c r="D641" s="15" t="n"/>
      <c r="E641" s="15" t="n"/>
      <c r="F641" s="15" t="n"/>
      <c r="G641" s="15" t="n"/>
      <c r="H641" s="15" t="n"/>
      <c r="I641" s="15" t="n"/>
    </row>
    <row r="642" ht="15.75" customHeight="1" s="48">
      <c r="A642" s="15" t="n"/>
      <c r="B642" s="15" t="n"/>
      <c r="C642" s="15" t="n"/>
      <c r="D642" s="15" t="n"/>
      <c r="E642" s="15" t="n"/>
      <c r="F642" s="15" t="n"/>
      <c r="G642" s="15" t="n"/>
      <c r="H642" s="15" t="n"/>
      <c r="I642" s="15" t="n"/>
    </row>
    <row r="643" ht="15.75" customHeight="1" s="48">
      <c r="A643" s="15" t="n"/>
      <c r="B643" s="15" t="n"/>
      <c r="C643" s="15" t="n"/>
      <c r="D643" s="15" t="n"/>
      <c r="E643" s="15" t="n"/>
      <c r="F643" s="15" t="n"/>
      <c r="G643" s="15" t="n"/>
      <c r="H643" s="15" t="n"/>
      <c r="I643" s="15" t="n"/>
    </row>
    <row r="644" ht="15.75" customHeight="1" s="48">
      <c r="A644" s="15" t="n"/>
      <c r="B644" s="15" t="n"/>
      <c r="C644" s="15" t="n"/>
      <c r="D644" s="15" t="n"/>
      <c r="E644" s="15" t="n"/>
      <c r="F644" s="15" t="n"/>
      <c r="G644" s="15" t="n"/>
      <c r="H644" s="15" t="n"/>
      <c r="I644" s="15" t="n"/>
    </row>
    <row r="645" ht="15.75" customHeight="1" s="48">
      <c r="A645" s="15" t="n"/>
      <c r="B645" s="15" t="n"/>
      <c r="C645" s="15" t="n"/>
      <c r="D645" s="15" t="n"/>
      <c r="E645" s="15" t="n"/>
      <c r="F645" s="15" t="n"/>
      <c r="G645" s="15" t="n"/>
      <c r="H645" s="15" t="n"/>
      <c r="I645" s="15" t="n"/>
    </row>
    <row r="646" ht="15.75" customHeight="1" s="48">
      <c r="A646" s="15" t="n"/>
      <c r="B646" s="15" t="n"/>
      <c r="C646" s="15" t="n"/>
      <c r="D646" s="15" t="n"/>
      <c r="E646" s="15" t="n"/>
      <c r="F646" s="15" t="n"/>
      <c r="G646" s="15" t="n"/>
      <c r="H646" s="15" t="n"/>
      <c r="I646" s="15" t="n"/>
    </row>
    <row r="647" ht="15.75" customHeight="1" s="48">
      <c r="A647" s="15" t="n"/>
      <c r="B647" s="15" t="n"/>
      <c r="C647" s="15" t="n"/>
      <c r="D647" s="15" t="n"/>
      <c r="E647" s="15" t="n"/>
      <c r="F647" s="15" t="n"/>
      <c r="G647" s="15" t="n"/>
      <c r="H647" s="15" t="n"/>
      <c r="I647" s="15" t="n"/>
    </row>
    <row r="648" ht="15.75" customHeight="1" s="48">
      <c r="A648" s="15" t="n"/>
      <c r="B648" s="15" t="n"/>
      <c r="C648" s="15" t="n"/>
      <c r="D648" s="15" t="n"/>
      <c r="E648" s="15" t="n"/>
      <c r="F648" s="15" t="n"/>
      <c r="G648" s="15" t="n"/>
      <c r="H648" s="15" t="n"/>
      <c r="I648" s="15" t="n"/>
    </row>
    <row r="649" ht="15.75" customHeight="1" s="48">
      <c r="A649" s="15" t="n"/>
      <c r="B649" s="15" t="n"/>
      <c r="C649" s="15" t="n"/>
      <c r="D649" s="15" t="n"/>
      <c r="E649" s="15" t="n"/>
      <c r="F649" s="15" t="n"/>
      <c r="G649" s="15" t="n"/>
      <c r="H649" s="15" t="n"/>
      <c r="I649" s="15" t="n"/>
    </row>
    <row r="650" ht="15.75" customHeight="1" s="48">
      <c r="A650" s="15" t="n"/>
      <c r="B650" s="15" t="n"/>
      <c r="C650" s="15" t="n"/>
      <c r="D650" s="15" t="n"/>
      <c r="E650" s="15" t="n"/>
      <c r="F650" s="15" t="n"/>
      <c r="G650" s="15" t="n"/>
      <c r="H650" s="15" t="n"/>
      <c r="I650" s="15" t="n"/>
    </row>
    <row r="651" ht="15.75" customHeight="1" s="48">
      <c r="A651" s="15" t="n"/>
      <c r="B651" s="15" t="n"/>
      <c r="C651" s="15" t="n"/>
      <c r="D651" s="15" t="n"/>
      <c r="E651" s="15" t="n"/>
      <c r="F651" s="15" t="n"/>
      <c r="G651" s="15" t="n"/>
      <c r="H651" s="15" t="n"/>
      <c r="I651" s="15" t="n"/>
    </row>
    <row r="652" ht="15.75" customHeight="1" s="48">
      <c r="A652" s="15" t="n"/>
      <c r="B652" s="15" t="n"/>
      <c r="C652" s="15" t="n"/>
      <c r="D652" s="15" t="n"/>
      <c r="E652" s="15" t="n"/>
      <c r="F652" s="15" t="n"/>
      <c r="G652" s="15" t="n"/>
      <c r="H652" s="15" t="n"/>
      <c r="I652" s="15" t="n"/>
    </row>
    <row r="653" ht="15.75" customHeight="1" s="48">
      <c r="A653" s="15" t="n"/>
      <c r="B653" s="15" t="n"/>
      <c r="C653" s="15" t="n"/>
      <c r="D653" s="15" t="n"/>
      <c r="E653" s="15" t="n"/>
      <c r="F653" s="15" t="n"/>
      <c r="G653" s="15" t="n"/>
      <c r="H653" s="15" t="n"/>
      <c r="I653" s="15" t="n"/>
    </row>
    <row r="654" ht="15.75" customHeight="1" s="48">
      <c r="A654" s="15" t="n"/>
      <c r="B654" s="15" t="n"/>
      <c r="C654" s="15" t="n"/>
      <c r="D654" s="15" t="n"/>
      <c r="E654" s="15" t="n"/>
      <c r="F654" s="15" t="n"/>
      <c r="G654" s="15" t="n"/>
      <c r="H654" s="15" t="n"/>
      <c r="I654" s="15" t="n"/>
    </row>
    <row r="655" ht="15.75" customHeight="1" s="48">
      <c r="A655" s="15" t="n"/>
      <c r="B655" s="15" t="n"/>
      <c r="C655" s="15" t="n"/>
      <c r="D655" s="15" t="n"/>
      <c r="E655" s="15" t="n"/>
      <c r="F655" s="15" t="n"/>
      <c r="G655" s="15" t="n"/>
      <c r="H655" s="15" t="n"/>
      <c r="I655" s="15" t="n"/>
    </row>
    <row r="656" ht="15.75" customHeight="1" s="48">
      <c r="A656" s="15" t="n"/>
      <c r="B656" s="15" t="n"/>
      <c r="C656" s="15" t="n"/>
      <c r="D656" s="15" t="n"/>
      <c r="E656" s="15" t="n"/>
      <c r="F656" s="15" t="n"/>
      <c r="G656" s="15" t="n"/>
      <c r="H656" s="15" t="n"/>
      <c r="I656" s="15" t="n"/>
    </row>
    <row r="657" ht="15.75" customHeight="1" s="48">
      <c r="A657" s="15" t="n"/>
      <c r="B657" s="15" t="n"/>
      <c r="C657" s="15" t="n"/>
      <c r="D657" s="15" t="n"/>
      <c r="E657" s="15" t="n"/>
      <c r="F657" s="15" t="n"/>
      <c r="G657" s="15" t="n"/>
      <c r="H657" s="15" t="n"/>
      <c r="I657" s="15" t="n"/>
    </row>
    <row r="658" ht="15.75" customHeight="1" s="48">
      <c r="A658" s="15" t="n"/>
      <c r="B658" s="15" t="n"/>
      <c r="C658" s="15" t="n"/>
      <c r="D658" s="15" t="n"/>
      <c r="E658" s="15" t="n"/>
      <c r="F658" s="15" t="n"/>
      <c r="G658" s="15" t="n"/>
      <c r="H658" s="15" t="n"/>
      <c r="I658" s="15" t="n"/>
    </row>
    <row r="659" ht="15.75" customHeight="1" s="48">
      <c r="A659" s="15" t="n"/>
      <c r="B659" s="15" t="n"/>
      <c r="C659" s="15" t="n"/>
      <c r="D659" s="15" t="n"/>
      <c r="E659" s="15" t="n"/>
      <c r="F659" s="15" t="n"/>
      <c r="G659" s="15" t="n"/>
      <c r="H659" s="15" t="n"/>
      <c r="I659" s="15" t="n"/>
    </row>
    <row r="660" ht="15.75" customHeight="1" s="48">
      <c r="A660" s="15" t="n"/>
      <c r="B660" s="15" t="n"/>
      <c r="C660" s="15" t="n"/>
      <c r="D660" s="15" t="n"/>
      <c r="E660" s="15" t="n"/>
      <c r="F660" s="15" t="n"/>
      <c r="G660" s="15" t="n"/>
      <c r="H660" s="15" t="n"/>
      <c r="I660" s="15" t="n"/>
    </row>
    <row r="661" ht="15.75" customHeight="1" s="48">
      <c r="A661" s="15" t="n"/>
      <c r="B661" s="15" t="n"/>
      <c r="C661" s="15" t="n"/>
      <c r="D661" s="15" t="n"/>
      <c r="E661" s="15" t="n"/>
      <c r="F661" s="15" t="n"/>
      <c r="G661" s="15" t="n"/>
      <c r="H661" s="15" t="n"/>
      <c r="I661" s="15" t="n"/>
    </row>
    <row r="662" ht="15.75" customHeight="1" s="48">
      <c r="A662" s="15" t="n"/>
      <c r="B662" s="15" t="n"/>
      <c r="C662" s="15" t="n"/>
      <c r="D662" s="15" t="n"/>
      <c r="E662" s="15" t="n"/>
      <c r="F662" s="15" t="n"/>
      <c r="G662" s="15" t="n"/>
      <c r="H662" s="15" t="n"/>
      <c r="I662" s="15" t="n"/>
    </row>
    <row r="663" ht="15.75" customHeight="1" s="48">
      <c r="A663" s="15" t="n"/>
      <c r="B663" s="15" t="n"/>
      <c r="C663" s="15" t="n"/>
      <c r="D663" s="15" t="n"/>
      <c r="E663" s="15" t="n"/>
      <c r="F663" s="15" t="n"/>
      <c r="G663" s="15" t="n"/>
      <c r="H663" s="15" t="n"/>
      <c r="I663" s="15" t="n"/>
    </row>
    <row r="664" ht="15.75" customHeight="1" s="48">
      <c r="A664" s="15" t="n"/>
      <c r="B664" s="15" t="n"/>
      <c r="C664" s="15" t="n"/>
      <c r="D664" s="15" t="n"/>
      <c r="E664" s="15" t="n"/>
      <c r="F664" s="15" t="n"/>
      <c r="G664" s="15" t="n"/>
      <c r="H664" s="15" t="n"/>
      <c r="I664" s="15" t="n"/>
    </row>
    <row r="665" ht="15.75" customHeight="1" s="48">
      <c r="A665" s="15" t="n"/>
      <c r="B665" s="15" t="n"/>
      <c r="C665" s="15" t="n"/>
      <c r="D665" s="15" t="n"/>
      <c r="E665" s="15" t="n"/>
      <c r="F665" s="15" t="n"/>
      <c r="G665" s="15" t="n"/>
      <c r="H665" s="15" t="n"/>
      <c r="I665" s="15" t="n"/>
    </row>
    <row r="666" ht="15.75" customHeight="1" s="48">
      <c r="A666" s="15" t="n"/>
      <c r="B666" s="15" t="n"/>
      <c r="C666" s="15" t="n"/>
      <c r="D666" s="15" t="n"/>
      <c r="E666" s="15" t="n"/>
      <c r="F666" s="15" t="n"/>
      <c r="G666" s="15" t="n"/>
      <c r="H666" s="15" t="n"/>
      <c r="I666" s="15" t="n"/>
    </row>
    <row r="667" ht="15.75" customHeight="1" s="48">
      <c r="A667" s="15" t="n"/>
      <c r="B667" s="15" t="n"/>
      <c r="C667" s="15" t="n"/>
      <c r="D667" s="15" t="n"/>
      <c r="E667" s="15" t="n"/>
      <c r="F667" s="15" t="n"/>
      <c r="G667" s="15" t="n"/>
      <c r="H667" s="15" t="n"/>
      <c r="I667" s="15" t="n"/>
    </row>
    <row r="668" ht="15.75" customHeight="1" s="48">
      <c r="A668" s="15" t="n"/>
      <c r="B668" s="15" t="n"/>
      <c r="C668" s="15" t="n"/>
      <c r="D668" s="15" t="n"/>
      <c r="E668" s="15" t="n"/>
      <c r="F668" s="15" t="n"/>
      <c r="G668" s="15" t="n"/>
      <c r="H668" s="15" t="n"/>
      <c r="I668" s="15" t="n"/>
    </row>
    <row r="669" ht="15.75" customHeight="1" s="48">
      <c r="A669" s="15" t="n"/>
      <c r="B669" s="15" t="n"/>
      <c r="C669" s="15" t="n"/>
      <c r="D669" s="15" t="n"/>
      <c r="E669" s="15" t="n"/>
      <c r="F669" s="15" t="n"/>
      <c r="G669" s="15" t="n"/>
      <c r="H669" s="15" t="n"/>
      <c r="I669" s="15" t="n"/>
    </row>
    <row r="670" ht="15.75" customHeight="1" s="48">
      <c r="A670" s="15" t="n"/>
      <c r="B670" s="15" t="n"/>
      <c r="C670" s="15" t="n"/>
      <c r="D670" s="15" t="n"/>
      <c r="E670" s="15" t="n"/>
      <c r="F670" s="15" t="n"/>
      <c r="G670" s="15" t="n"/>
      <c r="H670" s="15" t="n"/>
      <c r="I670" s="15" t="n"/>
    </row>
    <row r="671" ht="15.75" customHeight="1" s="48">
      <c r="A671" s="15" t="n"/>
      <c r="B671" s="15" t="n"/>
      <c r="C671" s="15" t="n"/>
      <c r="D671" s="15" t="n"/>
      <c r="E671" s="15" t="n"/>
      <c r="F671" s="15" t="n"/>
      <c r="G671" s="15" t="n"/>
      <c r="H671" s="15" t="n"/>
      <c r="I671" s="15" t="n"/>
    </row>
    <row r="672" ht="15.75" customHeight="1" s="48">
      <c r="A672" s="15" t="n"/>
      <c r="B672" s="15" t="n"/>
      <c r="C672" s="15" t="n"/>
      <c r="D672" s="15" t="n"/>
      <c r="E672" s="15" t="n"/>
      <c r="F672" s="15" t="n"/>
      <c r="G672" s="15" t="n"/>
      <c r="H672" s="15" t="n"/>
      <c r="I672" s="15" t="n"/>
    </row>
    <row r="673" ht="15.75" customHeight="1" s="48">
      <c r="A673" s="15" t="n"/>
      <c r="B673" s="15" t="n"/>
      <c r="C673" s="15" t="n"/>
      <c r="D673" s="15" t="n"/>
      <c r="E673" s="15" t="n"/>
      <c r="F673" s="15" t="n"/>
      <c r="G673" s="15" t="n"/>
      <c r="H673" s="15" t="n"/>
      <c r="I673" s="15" t="n"/>
    </row>
    <row r="674" ht="15.75" customHeight="1" s="48">
      <c r="A674" s="15" t="n"/>
      <c r="B674" s="15" t="n"/>
      <c r="C674" s="15" t="n"/>
      <c r="D674" s="15" t="n"/>
      <c r="E674" s="15" t="n"/>
      <c r="F674" s="15" t="n"/>
      <c r="G674" s="15" t="n"/>
      <c r="H674" s="15" t="n"/>
      <c r="I674" s="15" t="n"/>
    </row>
    <row r="675" ht="15.75" customHeight="1" s="48">
      <c r="A675" s="15" t="n"/>
      <c r="B675" s="15" t="n"/>
      <c r="C675" s="15" t="n"/>
      <c r="D675" s="15" t="n"/>
      <c r="E675" s="15" t="n"/>
      <c r="F675" s="15" t="n"/>
      <c r="G675" s="15" t="n"/>
      <c r="H675" s="15" t="n"/>
      <c r="I675" s="15" t="n"/>
    </row>
    <row r="676" ht="15.75" customHeight="1" s="48">
      <c r="A676" s="15" t="n"/>
      <c r="B676" s="15" t="n"/>
      <c r="C676" s="15" t="n"/>
      <c r="D676" s="15" t="n"/>
      <c r="E676" s="15" t="n"/>
      <c r="F676" s="15" t="n"/>
      <c r="G676" s="15" t="n"/>
      <c r="H676" s="15" t="n"/>
      <c r="I676" s="15" t="n"/>
    </row>
    <row r="677" ht="15.75" customHeight="1" s="48">
      <c r="A677" s="15" t="n"/>
      <c r="B677" s="15" t="n"/>
      <c r="C677" s="15" t="n"/>
      <c r="D677" s="15" t="n"/>
      <c r="E677" s="15" t="n"/>
      <c r="F677" s="15" t="n"/>
      <c r="G677" s="15" t="n"/>
      <c r="H677" s="15" t="n"/>
      <c r="I677" s="15" t="n"/>
    </row>
    <row r="678" ht="15.75" customHeight="1" s="48">
      <c r="A678" s="15" t="n"/>
      <c r="B678" s="15" t="n"/>
      <c r="C678" s="15" t="n"/>
      <c r="D678" s="15" t="n"/>
      <c r="E678" s="15" t="n"/>
      <c r="F678" s="15" t="n"/>
      <c r="G678" s="15" t="n"/>
      <c r="H678" s="15" t="n"/>
      <c r="I678" s="15" t="n"/>
    </row>
    <row r="679" ht="15.75" customHeight="1" s="48">
      <c r="A679" s="15" t="n"/>
      <c r="B679" s="15" t="n"/>
      <c r="C679" s="15" t="n"/>
      <c r="D679" s="15" t="n"/>
      <c r="E679" s="15" t="n"/>
      <c r="F679" s="15" t="n"/>
      <c r="G679" s="15" t="n"/>
      <c r="H679" s="15" t="n"/>
      <c r="I679" s="15" t="n"/>
    </row>
    <row r="680" ht="15.75" customHeight="1" s="48">
      <c r="A680" s="15" t="n"/>
      <c r="B680" s="15" t="n"/>
      <c r="C680" s="15" t="n"/>
      <c r="D680" s="15" t="n"/>
      <c r="E680" s="15" t="n"/>
      <c r="F680" s="15" t="n"/>
      <c r="G680" s="15" t="n"/>
      <c r="H680" s="15" t="n"/>
      <c r="I680" s="15" t="n"/>
    </row>
    <row r="681" ht="15.75" customHeight="1" s="48">
      <c r="A681" s="15" t="n"/>
      <c r="B681" s="15" t="n"/>
      <c r="C681" s="15" t="n"/>
      <c r="D681" s="15" t="n"/>
      <c r="E681" s="15" t="n"/>
      <c r="F681" s="15" t="n"/>
      <c r="G681" s="15" t="n"/>
      <c r="H681" s="15" t="n"/>
      <c r="I681" s="15" t="n"/>
    </row>
    <row r="682" ht="15.75" customHeight="1" s="48">
      <c r="A682" s="15" t="n"/>
      <c r="B682" s="15" t="n"/>
      <c r="C682" s="15" t="n"/>
      <c r="D682" s="15" t="n"/>
      <c r="E682" s="15" t="n"/>
      <c r="F682" s="15" t="n"/>
      <c r="G682" s="15" t="n"/>
      <c r="H682" s="15" t="n"/>
      <c r="I682" s="15" t="n"/>
    </row>
    <row r="683" ht="15.75" customHeight="1" s="48">
      <c r="A683" s="15" t="n"/>
      <c r="B683" s="15" t="n"/>
      <c r="C683" s="15" t="n"/>
      <c r="D683" s="15" t="n"/>
      <c r="E683" s="15" t="n"/>
      <c r="F683" s="15" t="n"/>
      <c r="G683" s="15" t="n"/>
      <c r="H683" s="15" t="n"/>
      <c r="I683" s="15" t="n"/>
    </row>
    <row r="684" ht="15.75" customHeight="1" s="48">
      <c r="A684" s="15" t="n"/>
      <c r="B684" s="15" t="n"/>
      <c r="C684" s="15" t="n"/>
      <c r="D684" s="15" t="n"/>
      <c r="E684" s="15" t="n"/>
      <c r="F684" s="15" t="n"/>
      <c r="G684" s="15" t="n"/>
      <c r="H684" s="15" t="n"/>
      <c r="I684" s="15" t="n"/>
    </row>
    <row r="685" ht="15.75" customHeight="1" s="48">
      <c r="A685" s="15" t="n"/>
      <c r="B685" s="15" t="n"/>
      <c r="C685" s="15" t="n"/>
      <c r="D685" s="15" t="n"/>
      <c r="E685" s="15" t="n"/>
      <c r="F685" s="15" t="n"/>
      <c r="G685" s="15" t="n"/>
      <c r="H685" s="15" t="n"/>
      <c r="I685" s="15" t="n"/>
    </row>
    <row r="686" ht="15.75" customHeight="1" s="48">
      <c r="A686" s="15" t="n"/>
      <c r="B686" s="15" t="n"/>
      <c r="C686" s="15" t="n"/>
      <c r="D686" s="15" t="n"/>
      <c r="E686" s="15" t="n"/>
      <c r="F686" s="15" t="n"/>
      <c r="G686" s="15" t="n"/>
      <c r="H686" s="15" t="n"/>
      <c r="I686" s="15" t="n"/>
    </row>
    <row r="687" ht="15.75" customHeight="1" s="48">
      <c r="A687" s="15" t="n"/>
      <c r="B687" s="15" t="n"/>
      <c r="C687" s="15" t="n"/>
      <c r="D687" s="15" t="n"/>
      <c r="E687" s="15" t="n"/>
      <c r="F687" s="15" t="n"/>
      <c r="G687" s="15" t="n"/>
      <c r="H687" s="15" t="n"/>
      <c r="I687" s="15" t="n"/>
    </row>
    <row r="688" ht="15.75" customHeight="1" s="48">
      <c r="A688" s="15" t="n"/>
      <c r="B688" s="15" t="n"/>
      <c r="C688" s="15" t="n"/>
      <c r="D688" s="15" t="n"/>
      <c r="E688" s="15" t="n"/>
      <c r="F688" s="15" t="n"/>
      <c r="G688" s="15" t="n"/>
      <c r="H688" s="15" t="n"/>
      <c r="I688" s="15" t="n"/>
    </row>
    <row r="689" ht="15.75" customHeight="1" s="48">
      <c r="A689" s="15" t="n"/>
      <c r="B689" s="15" t="n"/>
      <c r="C689" s="15" t="n"/>
      <c r="D689" s="15" t="n"/>
      <c r="E689" s="15" t="n"/>
      <c r="F689" s="15" t="n"/>
      <c r="G689" s="15" t="n"/>
      <c r="H689" s="15" t="n"/>
      <c r="I689" s="15" t="n"/>
    </row>
    <row r="690" ht="15.75" customHeight="1" s="48">
      <c r="A690" s="15" t="n"/>
      <c r="B690" s="15" t="n"/>
      <c r="C690" s="15" t="n"/>
      <c r="D690" s="15" t="n"/>
      <c r="E690" s="15" t="n"/>
      <c r="F690" s="15" t="n"/>
      <c r="G690" s="15" t="n"/>
      <c r="H690" s="15" t="n"/>
      <c r="I690" s="15" t="n"/>
    </row>
    <row r="691" ht="15.75" customHeight="1" s="48">
      <c r="A691" s="15" t="n"/>
      <c r="B691" s="15" t="n"/>
      <c r="C691" s="15" t="n"/>
      <c r="D691" s="15" t="n"/>
      <c r="E691" s="15" t="n"/>
      <c r="F691" s="15" t="n"/>
      <c r="G691" s="15" t="n"/>
      <c r="H691" s="15" t="n"/>
      <c r="I691" s="15" t="n"/>
    </row>
    <row r="692" ht="15.75" customHeight="1" s="48">
      <c r="A692" s="15" t="n"/>
      <c r="B692" s="15" t="n"/>
      <c r="C692" s="15" t="n"/>
      <c r="D692" s="15" t="n"/>
      <c r="E692" s="15" t="n"/>
      <c r="F692" s="15" t="n"/>
      <c r="G692" s="15" t="n"/>
      <c r="H692" s="15" t="n"/>
      <c r="I692" s="15" t="n"/>
    </row>
    <row r="693" ht="15.75" customHeight="1" s="48">
      <c r="A693" s="15" t="n"/>
      <c r="B693" s="15" t="n"/>
      <c r="C693" s="15" t="n"/>
      <c r="D693" s="15" t="n"/>
      <c r="E693" s="15" t="n"/>
      <c r="F693" s="15" t="n"/>
      <c r="G693" s="15" t="n"/>
      <c r="H693" s="15" t="n"/>
      <c r="I693" s="15" t="n"/>
    </row>
    <row r="694" ht="15.75" customHeight="1" s="48">
      <c r="A694" s="15" t="n"/>
      <c r="B694" s="15" t="n"/>
      <c r="C694" s="15" t="n"/>
      <c r="D694" s="15" t="n"/>
      <c r="E694" s="15" t="n"/>
      <c r="F694" s="15" t="n"/>
      <c r="G694" s="15" t="n"/>
      <c r="H694" s="15" t="n"/>
      <c r="I694" s="15" t="n"/>
    </row>
    <row r="695" ht="15.75" customHeight="1" s="48">
      <c r="A695" s="15" t="n"/>
      <c r="B695" s="15" t="n"/>
      <c r="C695" s="15" t="n"/>
      <c r="D695" s="15" t="n"/>
      <c r="E695" s="15" t="n"/>
      <c r="F695" s="15" t="n"/>
      <c r="G695" s="15" t="n"/>
      <c r="H695" s="15" t="n"/>
      <c r="I695" s="15" t="n"/>
    </row>
    <row r="696" ht="15.75" customHeight="1" s="48">
      <c r="A696" s="15" t="n"/>
      <c r="B696" s="15" t="n"/>
      <c r="C696" s="15" t="n"/>
      <c r="D696" s="15" t="n"/>
      <c r="E696" s="15" t="n"/>
      <c r="F696" s="15" t="n"/>
      <c r="G696" s="15" t="n"/>
      <c r="H696" s="15" t="n"/>
      <c r="I696" s="15" t="n"/>
    </row>
    <row r="697" ht="15.75" customHeight="1" s="48">
      <c r="A697" s="15" t="n"/>
      <c r="B697" s="15" t="n"/>
      <c r="C697" s="15" t="n"/>
      <c r="D697" s="15" t="n"/>
      <c r="E697" s="15" t="n"/>
      <c r="F697" s="15" t="n"/>
      <c r="G697" s="15" t="n"/>
      <c r="H697" s="15" t="n"/>
      <c r="I697" s="15" t="n"/>
    </row>
    <row r="698" ht="15.75" customHeight="1" s="48">
      <c r="A698" s="15" t="n"/>
      <c r="B698" s="15" t="n"/>
      <c r="C698" s="15" t="n"/>
      <c r="D698" s="15" t="n"/>
      <c r="E698" s="15" t="n"/>
      <c r="F698" s="15" t="n"/>
      <c r="G698" s="15" t="n"/>
      <c r="H698" s="15" t="n"/>
      <c r="I698" s="15" t="n"/>
    </row>
    <row r="699" ht="15.75" customHeight="1" s="48">
      <c r="A699" s="15" t="n"/>
      <c r="B699" s="15" t="n"/>
      <c r="C699" s="15" t="n"/>
      <c r="D699" s="15" t="n"/>
      <c r="E699" s="15" t="n"/>
      <c r="F699" s="15" t="n"/>
      <c r="G699" s="15" t="n"/>
      <c r="H699" s="15" t="n"/>
      <c r="I699" s="15" t="n"/>
    </row>
    <row r="700" ht="15.75" customHeight="1" s="48">
      <c r="A700" s="15" t="n"/>
      <c r="B700" s="15" t="n"/>
      <c r="C700" s="15" t="n"/>
      <c r="D700" s="15" t="n"/>
      <c r="E700" s="15" t="n"/>
      <c r="F700" s="15" t="n"/>
      <c r="G700" s="15" t="n"/>
      <c r="H700" s="15" t="n"/>
      <c r="I700" s="15" t="n"/>
    </row>
    <row r="701" ht="15.75" customHeight="1" s="48">
      <c r="A701" s="15" t="n"/>
      <c r="B701" s="15" t="n"/>
      <c r="C701" s="15" t="n"/>
      <c r="D701" s="15" t="n"/>
      <c r="E701" s="15" t="n"/>
      <c r="F701" s="15" t="n"/>
      <c r="G701" s="15" t="n"/>
      <c r="H701" s="15" t="n"/>
      <c r="I701" s="15" t="n"/>
    </row>
    <row r="702" ht="15.75" customHeight="1" s="48">
      <c r="A702" s="15" t="n"/>
      <c r="B702" s="15" t="n"/>
      <c r="C702" s="15" t="n"/>
      <c r="D702" s="15" t="n"/>
      <c r="E702" s="15" t="n"/>
      <c r="F702" s="15" t="n"/>
      <c r="G702" s="15" t="n"/>
      <c r="H702" s="15" t="n"/>
      <c r="I702" s="15" t="n"/>
    </row>
    <row r="703" ht="15.75" customHeight="1" s="48">
      <c r="A703" s="15" t="n"/>
      <c r="B703" s="15" t="n"/>
      <c r="C703" s="15" t="n"/>
      <c r="D703" s="15" t="n"/>
      <c r="E703" s="15" t="n"/>
      <c r="F703" s="15" t="n"/>
      <c r="G703" s="15" t="n"/>
      <c r="H703" s="15" t="n"/>
      <c r="I703" s="15" t="n"/>
    </row>
    <row r="704" ht="15.75" customHeight="1" s="48">
      <c r="A704" s="15" t="n"/>
      <c r="B704" s="15" t="n"/>
      <c r="C704" s="15" t="n"/>
      <c r="D704" s="15" t="n"/>
      <c r="E704" s="15" t="n"/>
      <c r="F704" s="15" t="n"/>
      <c r="G704" s="15" t="n"/>
      <c r="H704" s="15" t="n"/>
      <c r="I704" s="15" t="n"/>
    </row>
    <row r="705" ht="15.75" customHeight="1" s="48">
      <c r="A705" s="15" t="n"/>
      <c r="B705" s="15" t="n"/>
      <c r="C705" s="15" t="n"/>
      <c r="D705" s="15" t="n"/>
      <c r="E705" s="15" t="n"/>
      <c r="F705" s="15" t="n"/>
      <c r="G705" s="15" t="n"/>
      <c r="H705" s="15" t="n"/>
      <c r="I705" s="15" t="n"/>
    </row>
    <row r="706" ht="15.75" customHeight="1" s="48">
      <c r="A706" s="15" t="n"/>
      <c r="B706" s="15" t="n"/>
      <c r="C706" s="15" t="n"/>
      <c r="D706" s="15" t="n"/>
      <c r="E706" s="15" t="n"/>
      <c r="F706" s="15" t="n"/>
      <c r="G706" s="15" t="n"/>
      <c r="H706" s="15" t="n"/>
      <c r="I706" s="15" t="n"/>
    </row>
    <row r="707" ht="15.75" customHeight="1" s="48">
      <c r="A707" s="15" t="n"/>
      <c r="B707" s="15" t="n"/>
      <c r="C707" s="15" t="n"/>
      <c r="D707" s="15" t="n"/>
      <c r="E707" s="15" t="n"/>
      <c r="F707" s="15" t="n"/>
      <c r="G707" s="15" t="n"/>
      <c r="H707" s="15" t="n"/>
      <c r="I707" s="15" t="n"/>
    </row>
    <row r="708" ht="15.75" customHeight="1" s="48">
      <c r="A708" s="15" t="n"/>
      <c r="B708" s="15" t="n"/>
      <c r="C708" s="15" t="n"/>
      <c r="D708" s="15" t="n"/>
      <c r="E708" s="15" t="n"/>
      <c r="F708" s="15" t="n"/>
      <c r="G708" s="15" t="n"/>
      <c r="H708" s="15" t="n"/>
      <c r="I708" s="15" t="n"/>
    </row>
    <row r="709" ht="15.75" customHeight="1" s="48">
      <c r="A709" s="15" t="n"/>
      <c r="B709" s="15" t="n"/>
      <c r="C709" s="15" t="n"/>
      <c r="D709" s="15" t="n"/>
      <c r="E709" s="15" t="n"/>
      <c r="F709" s="15" t="n"/>
      <c r="G709" s="15" t="n"/>
      <c r="H709" s="15" t="n"/>
      <c r="I709" s="15" t="n"/>
    </row>
    <row r="710" ht="15.75" customHeight="1" s="48">
      <c r="A710" s="15" t="n"/>
      <c r="B710" s="15" t="n"/>
      <c r="C710" s="15" t="n"/>
      <c r="D710" s="15" t="n"/>
      <c r="E710" s="15" t="n"/>
      <c r="F710" s="15" t="n"/>
      <c r="G710" s="15" t="n"/>
      <c r="H710" s="15" t="n"/>
      <c r="I710" s="15" t="n"/>
    </row>
    <row r="711" ht="15.75" customHeight="1" s="48">
      <c r="A711" s="15" t="n"/>
      <c r="B711" s="15" t="n"/>
      <c r="C711" s="15" t="n"/>
      <c r="D711" s="15" t="n"/>
      <c r="E711" s="15" t="n"/>
      <c r="F711" s="15" t="n"/>
      <c r="G711" s="15" t="n"/>
      <c r="H711" s="15" t="n"/>
      <c r="I711" s="15" t="n"/>
    </row>
    <row r="712" ht="15.75" customHeight="1" s="48">
      <c r="A712" s="15" t="n"/>
      <c r="B712" s="15" t="n"/>
      <c r="C712" s="15" t="n"/>
      <c r="D712" s="15" t="n"/>
      <c r="E712" s="15" t="n"/>
      <c r="F712" s="15" t="n"/>
      <c r="G712" s="15" t="n"/>
      <c r="H712" s="15" t="n"/>
      <c r="I712" s="15" t="n"/>
    </row>
    <row r="713" ht="15.75" customHeight="1" s="48">
      <c r="A713" s="15" t="n"/>
      <c r="B713" s="15" t="n"/>
      <c r="C713" s="15" t="n"/>
      <c r="D713" s="15" t="n"/>
      <c r="E713" s="15" t="n"/>
      <c r="F713" s="15" t="n"/>
      <c r="G713" s="15" t="n"/>
      <c r="H713" s="15" t="n"/>
      <c r="I713" s="15" t="n"/>
    </row>
    <row r="714" ht="15.75" customHeight="1" s="48">
      <c r="A714" s="15" t="n"/>
      <c r="B714" s="15" t="n"/>
      <c r="C714" s="15" t="n"/>
      <c r="D714" s="15" t="n"/>
      <c r="E714" s="15" t="n"/>
      <c r="F714" s="15" t="n"/>
      <c r="G714" s="15" t="n"/>
      <c r="H714" s="15" t="n"/>
      <c r="I714" s="15" t="n"/>
    </row>
    <row r="715" ht="15.75" customHeight="1" s="48">
      <c r="A715" s="15" t="n"/>
      <c r="B715" s="15" t="n"/>
      <c r="C715" s="15" t="n"/>
      <c r="D715" s="15" t="n"/>
      <c r="E715" s="15" t="n"/>
      <c r="F715" s="15" t="n"/>
      <c r="G715" s="15" t="n"/>
      <c r="H715" s="15" t="n"/>
      <c r="I715" s="15" t="n"/>
    </row>
    <row r="716" ht="15.75" customHeight="1" s="48">
      <c r="A716" s="15" t="n"/>
      <c r="B716" s="15" t="n"/>
      <c r="C716" s="15" t="n"/>
      <c r="D716" s="15" t="n"/>
      <c r="E716" s="15" t="n"/>
      <c r="F716" s="15" t="n"/>
      <c r="G716" s="15" t="n"/>
      <c r="H716" s="15" t="n"/>
      <c r="I716" s="15" t="n"/>
    </row>
    <row r="717" ht="15.75" customHeight="1" s="48">
      <c r="A717" s="15" t="n"/>
      <c r="B717" s="15" t="n"/>
      <c r="C717" s="15" t="n"/>
      <c r="D717" s="15" t="n"/>
      <c r="E717" s="15" t="n"/>
      <c r="F717" s="15" t="n"/>
      <c r="G717" s="15" t="n"/>
      <c r="H717" s="15" t="n"/>
      <c r="I717" s="15" t="n"/>
    </row>
    <row r="718" ht="15.75" customHeight="1" s="48">
      <c r="A718" s="15" t="n"/>
      <c r="B718" s="15" t="n"/>
      <c r="C718" s="15" t="n"/>
      <c r="D718" s="15" t="n"/>
      <c r="E718" s="15" t="n"/>
      <c r="F718" s="15" t="n"/>
      <c r="G718" s="15" t="n"/>
      <c r="H718" s="15" t="n"/>
      <c r="I718" s="15" t="n"/>
    </row>
    <row r="719" ht="15.75" customHeight="1" s="48">
      <c r="A719" s="15" t="n"/>
      <c r="B719" s="15" t="n"/>
      <c r="C719" s="15" t="n"/>
      <c r="D719" s="15" t="n"/>
      <c r="E719" s="15" t="n"/>
      <c r="F719" s="15" t="n"/>
      <c r="G719" s="15" t="n"/>
      <c r="H719" s="15" t="n"/>
      <c r="I719" s="15" t="n"/>
    </row>
    <row r="720" ht="15.75" customHeight="1" s="48">
      <c r="A720" s="15" t="n"/>
      <c r="B720" s="15" t="n"/>
      <c r="C720" s="15" t="n"/>
      <c r="D720" s="15" t="n"/>
      <c r="E720" s="15" t="n"/>
      <c r="F720" s="15" t="n"/>
      <c r="G720" s="15" t="n"/>
      <c r="H720" s="15" t="n"/>
      <c r="I720" s="15" t="n"/>
    </row>
    <row r="721" ht="15.75" customHeight="1" s="48">
      <c r="A721" s="15" t="n"/>
      <c r="B721" s="15" t="n"/>
      <c r="C721" s="15" t="n"/>
      <c r="D721" s="15" t="n"/>
      <c r="E721" s="15" t="n"/>
      <c r="F721" s="15" t="n"/>
      <c r="G721" s="15" t="n"/>
      <c r="H721" s="15" t="n"/>
      <c r="I721" s="15" t="n"/>
    </row>
    <row r="722" ht="15.75" customHeight="1" s="48">
      <c r="A722" s="15" t="n"/>
      <c r="B722" s="15" t="n"/>
      <c r="C722" s="15" t="n"/>
      <c r="D722" s="15" t="n"/>
      <c r="E722" s="15" t="n"/>
      <c r="F722" s="15" t="n"/>
      <c r="G722" s="15" t="n"/>
      <c r="H722" s="15" t="n"/>
      <c r="I722" s="15" t="n"/>
    </row>
    <row r="723" ht="15.75" customHeight="1" s="48">
      <c r="A723" s="15" t="n"/>
      <c r="B723" s="15" t="n"/>
      <c r="C723" s="15" t="n"/>
      <c r="D723" s="15" t="n"/>
      <c r="E723" s="15" t="n"/>
      <c r="F723" s="15" t="n"/>
      <c r="G723" s="15" t="n"/>
      <c r="H723" s="15" t="n"/>
      <c r="I723" s="15" t="n"/>
    </row>
    <row r="724" ht="15.75" customHeight="1" s="48">
      <c r="A724" s="15" t="n"/>
      <c r="B724" s="15" t="n"/>
      <c r="C724" s="15" t="n"/>
      <c r="D724" s="15" t="n"/>
      <c r="E724" s="15" t="n"/>
      <c r="F724" s="15" t="n"/>
      <c r="G724" s="15" t="n"/>
      <c r="H724" s="15" t="n"/>
      <c r="I724" s="15" t="n"/>
    </row>
    <row r="725" ht="15.75" customHeight="1" s="48">
      <c r="A725" s="15" t="n"/>
      <c r="B725" s="15" t="n"/>
      <c r="C725" s="15" t="n"/>
      <c r="D725" s="15" t="n"/>
      <c r="E725" s="15" t="n"/>
      <c r="F725" s="15" t="n"/>
      <c r="G725" s="15" t="n"/>
      <c r="H725" s="15" t="n"/>
      <c r="I725" s="15" t="n"/>
    </row>
    <row r="726" ht="15.75" customHeight="1" s="48">
      <c r="A726" s="15" t="n"/>
      <c r="B726" s="15" t="n"/>
      <c r="C726" s="15" t="n"/>
      <c r="D726" s="15" t="n"/>
      <c r="E726" s="15" t="n"/>
      <c r="F726" s="15" t="n"/>
      <c r="G726" s="15" t="n"/>
      <c r="H726" s="15" t="n"/>
      <c r="I726" s="15" t="n"/>
    </row>
    <row r="727" ht="15.75" customHeight="1" s="48">
      <c r="A727" s="15" t="n"/>
      <c r="B727" s="15" t="n"/>
      <c r="C727" s="15" t="n"/>
      <c r="D727" s="15" t="n"/>
      <c r="E727" s="15" t="n"/>
      <c r="F727" s="15" t="n"/>
      <c r="G727" s="15" t="n"/>
      <c r="H727" s="15" t="n"/>
      <c r="I727" s="15" t="n"/>
    </row>
    <row r="728" ht="15.75" customHeight="1" s="48">
      <c r="A728" s="15" t="n"/>
      <c r="B728" s="15" t="n"/>
      <c r="C728" s="15" t="n"/>
      <c r="D728" s="15" t="n"/>
      <c r="E728" s="15" t="n"/>
      <c r="F728" s="15" t="n"/>
      <c r="G728" s="15" t="n"/>
      <c r="H728" s="15" t="n"/>
      <c r="I728" s="15" t="n"/>
    </row>
    <row r="729" ht="15.75" customHeight="1" s="48">
      <c r="A729" s="15" t="n"/>
      <c r="B729" s="15" t="n"/>
      <c r="C729" s="15" t="n"/>
      <c r="D729" s="15" t="n"/>
      <c r="E729" s="15" t="n"/>
      <c r="F729" s="15" t="n"/>
      <c r="G729" s="15" t="n"/>
      <c r="H729" s="15" t="n"/>
      <c r="I729" s="15" t="n"/>
    </row>
    <row r="730" ht="15.75" customHeight="1" s="48">
      <c r="A730" s="15" t="n"/>
      <c r="B730" s="15" t="n"/>
      <c r="C730" s="15" t="n"/>
      <c r="D730" s="15" t="n"/>
      <c r="E730" s="15" t="n"/>
      <c r="F730" s="15" t="n"/>
      <c r="G730" s="15" t="n"/>
      <c r="H730" s="15" t="n"/>
      <c r="I730" s="15" t="n"/>
    </row>
    <row r="731" ht="15.75" customHeight="1" s="48">
      <c r="A731" s="15" t="n"/>
      <c r="B731" s="15" t="n"/>
      <c r="C731" s="15" t="n"/>
      <c r="D731" s="15" t="n"/>
      <c r="E731" s="15" t="n"/>
      <c r="F731" s="15" t="n"/>
      <c r="G731" s="15" t="n"/>
      <c r="H731" s="15" t="n"/>
      <c r="I731" s="15" t="n"/>
    </row>
    <row r="732" ht="15.75" customHeight="1" s="48">
      <c r="A732" s="15" t="n"/>
      <c r="B732" s="15" t="n"/>
      <c r="C732" s="15" t="n"/>
      <c r="D732" s="15" t="n"/>
      <c r="E732" s="15" t="n"/>
      <c r="F732" s="15" t="n"/>
      <c r="G732" s="15" t="n"/>
      <c r="H732" s="15" t="n"/>
      <c r="I732" s="15" t="n"/>
    </row>
    <row r="733" ht="15.75" customHeight="1" s="48">
      <c r="A733" s="15" t="n"/>
      <c r="B733" s="15" t="n"/>
      <c r="C733" s="15" t="n"/>
      <c r="D733" s="15" t="n"/>
      <c r="E733" s="15" t="n"/>
      <c r="F733" s="15" t="n"/>
      <c r="G733" s="15" t="n"/>
      <c r="H733" s="15" t="n"/>
      <c r="I733" s="15" t="n"/>
    </row>
    <row r="734" ht="15.75" customHeight="1" s="48">
      <c r="A734" s="15" t="n"/>
      <c r="B734" s="15" t="n"/>
      <c r="C734" s="15" t="n"/>
      <c r="D734" s="15" t="n"/>
      <c r="E734" s="15" t="n"/>
      <c r="F734" s="15" t="n"/>
      <c r="G734" s="15" t="n"/>
      <c r="H734" s="15" t="n"/>
      <c r="I734" s="15" t="n"/>
    </row>
    <row r="735" ht="15.75" customHeight="1" s="48">
      <c r="A735" s="15" t="n"/>
      <c r="B735" s="15" t="n"/>
      <c r="C735" s="15" t="n"/>
      <c r="D735" s="15" t="n"/>
      <c r="E735" s="15" t="n"/>
      <c r="F735" s="15" t="n"/>
      <c r="G735" s="15" t="n"/>
      <c r="H735" s="15" t="n"/>
      <c r="I735" s="15" t="n"/>
    </row>
    <row r="736" ht="15.75" customHeight="1" s="48">
      <c r="A736" s="15" t="n"/>
      <c r="B736" s="15" t="n"/>
      <c r="C736" s="15" t="n"/>
      <c r="D736" s="15" t="n"/>
      <c r="E736" s="15" t="n"/>
      <c r="F736" s="15" t="n"/>
      <c r="G736" s="15" t="n"/>
      <c r="H736" s="15" t="n"/>
      <c r="I736" s="15" t="n"/>
    </row>
    <row r="737" ht="15.75" customHeight="1" s="48">
      <c r="A737" s="15" t="n"/>
      <c r="B737" s="15" t="n"/>
      <c r="C737" s="15" t="n"/>
      <c r="D737" s="15" t="n"/>
      <c r="E737" s="15" t="n"/>
      <c r="F737" s="15" t="n"/>
      <c r="G737" s="15" t="n"/>
      <c r="H737" s="15" t="n"/>
      <c r="I737" s="15" t="n"/>
    </row>
    <row r="738" ht="15.75" customHeight="1" s="48">
      <c r="A738" s="15" t="n"/>
      <c r="B738" s="15" t="n"/>
      <c r="C738" s="15" t="n"/>
      <c r="D738" s="15" t="n"/>
      <c r="E738" s="15" t="n"/>
      <c r="F738" s="15" t="n"/>
      <c r="G738" s="15" t="n"/>
      <c r="H738" s="15" t="n"/>
      <c r="I738" s="15" t="n"/>
    </row>
    <row r="739" ht="15.75" customHeight="1" s="48">
      <c r="A739" s="15" t="n"/>
      <c r="B739" s="15" t="n"/>
      <c r="C739" s="15" t="n"/>
      <c r="D739" s="15" t="n"/>
      <c r="E739" s="15" t="n"/>
      <c r="F739" s="15" t="n"/>
      <c r="G739" s="15" t="n"/>
      <c r="H739" s="15" t="n"/>
      <c r="I739" s="15" t="n"/>
    </row>
    <row r="740" ht="15.75" customHeight="1" s="48">
      <c r="A740" s="15" t="n"/>
      <c r="B740" s="15" t="n"/>
      <c r="C740" s="15" t="n"/>
      <c r="D740" s="15" t="n"/>
      <c r="E740" s="15" t="n"/>
      <c r="F740" s="15" t="n"/>
      <c r="G740" s="15" t="n"/>
      <c r="H740" s="15" t="n"/>
      <c r="I740" s="15" t="n"/>
    </row>
    <row r="741" ht="15.75" customHeight="1" s="48">
      <c r="A741" s="15" t="n"/>
      <c r="B741" s="15" t="n"/>
      <c r="C741" s="15" t="n"/>
      <c r="D741" s="15" t="n"/>
      <c r="E741" s="15" t="n"/>
      <c r="F741" s="15" t="n"/>
      <c r="G741" s="15" t="n"/>
      <c r="H741" s="15" t="n"/>
      <c r="I741" s="15" t="n"/>
    </row>
    <row r="742" ht="15.75" customHeight="1" s="48">
      <c r="A742" s="15" t="n"/>
      <c r="B742" s="15" t="n"/>
      <c r="C742" s="15" t="n"/>
      <c r="D742" s="15" t="n"/>
      <c r="E742" s="15" t="n"/>
      <c r="F742" s="15" t="n"/>
      <c r="G742" s="15" t="n"/>
      <c r="H742" s="15" t="n"/>
      <c r="I742" s="15" t="n"/>
    </row>
    <row r="743" ht="15.75" customHeight="1" s="48">
      <c r="A743" s="15" t="n"/>
      <c r="B743" s="15" t="n"/>
      <c r="C743" s="15" t="n"/>
      <c r="D743" s="15" t="n"/>
      <c r="E743" s="15" t="n"/>
      <c r="F743" s="15" t="n"/>
      <c r="G743" s="15" t="n"/>
      <c r="H743" s="15" t="n"/>
      <c r="I743" s="15" t="n"/>
    </row>
    <row r="744" ht="15.75" customHeight="1" s="48">
      <c r="A744" s="15" t="n"/>
      <c r="B744" s="15" t="n"/>
      <c r="C744" s="15" t="n"/>
      <c r="D744" s="15" t="n"/>
      <c r="E744" s="15" t="n"/>
      <c r="F744" s="15" t="n"/>
      <c r="G744" s="15" t="n"/>
      <c r="H744" s="15" t="n"/>
      <c r="I744" s="15" t="n"/>
    </row>
    <row r="745" ht="15.75" customHeight="1" s="48">
      <c r="A745" s="15" t="n"/>
      <c r="B745" s="15" t="n"/>
      <c r="C745" s="15" t="n"/>
      <c r="D745" s="15" t="n"/>
      <c r="E745" s="15" t="n"/>
      <c r="F745" s="15" t="n"/>
      <c r="G745" s="15" t="n"/>
      <c r="H745" s="15" t="n"/>
      <c r="I745" s="15" t="n"/>
    </row>
    <row r="746" ht="15.75" customHeight="1" s="48">
      <c r="A746" s="15" t="n"/>
      <c r="B746" s="15" t="n"/>
      <c r="C746" s="15" t="n"/>
      <c r="D746" s="15" t="n"/>
      <c r="E746" s="15" t="n"/>
      <c r="F746" s="15" t="n"/>
      <c r="G746" s="15" t="n"/>
      <c r="H746" s="15" t="n"/>
      <c r="I746" s="15" t="n"/>
    </row>
    <row r="747" ht="15.75" customHeight="1" s="48">
      <c r="A747" s="15" t="n"/>
      <c r="B747" s="15" t="n"/>
      <c r="C747" s="15" t="n"/>
      <c r="D747" s="15" t="n"/>
      <c r="E747" s="15" t="n"/>
      <c r="F747" s="15" t="n"/>
      <c r="G747" s="15" t="n"/>
      <c r="H747" s="15" t="n"/>
      <c r="I747" s="15" t="n"/>
    </row>
    <row r="748" ht="15.75" customHeight="1" s="48">
      <c r="A748" s="15" t="n"/>
      <c r="B748" s="15" t="n"/>
      <c r="C748" s="15" t="n"/>
      <c r="D748" s="15" t="n"/>
      <c r="E748" s="15" t="n"/>
      <c r="F748" s="15" t="n"/>
      <c r="G748" s="15" t="n"/>
      <c r="H748" s="15" t="n"/>
      <c r="I748" s="15" t="n"/>
    </row>
    <row r="749" ht="15.75" customHeight="1" s="48">
      <c r="A749" s="15" t="n"/>
      <c r="B749" s="15" t="n"/>
      <c r="C749" s="15" t="n"/>
      <c r="D749" s="15" t="n"/>
      <c r="E749" s="15" t="n"/>
      <c r="F749" s="15" t="n"/>
      <c r="G749" s="15" t="n"/>
      <c r="H749" s="15" t="n"/>
      <c r="I749" s="15" t="n"/>
    </row>
    <row r="750" ht="15.75" customHeight="1" s="48">
      <c r="A750" s="15" t="n"/>
      <c r="B750" s="15" t="n"/>
      <c r="C750" s="15" t="n"/>
      <c r="D750" s="15" t="n"/>
      <c r="E750" s="15" t="n"/>
      <c r="F750" s="15" t="n"/>
      <c r="G750" s="15" t="n"/>
      <c r="H750" s="15" t="n"/>
      <c r="I750" s="15" t="n"/>
    </row>
    <row r="751" ht="15.75" customHeight="1" s="48">
      <c r="A751" s="15" t="n"/>
      <c r="B751" s="15" t="n"/>
      <c r="C751" s="15" t="n"/>
      <c r="D751" s="15" t="n"/>
      <c r="E751" s="15" t="n"/>
      <c r="F751" s="15" t="n"/>
      <c r="G751" s="15" t="n"/>
      <c r="H751" s="15" t="n"/>
      <c r="I751" s="15" t="n"/>
    </row>
    <row r="752" ht="15.75" customHeight="1" s="48">
      <c r="A752" s="15" t="n"/>
      <c r="B752" s="15" t="n"/>
      <c r="C752" s="15" t="n"/>
      <c r="D752" s="15" t="n"/>
      <c r="E752" s="15" t="n"/>
      <c r="F752" s="15" t="n"/>
      <c r="G752" s="15" t="n"/>
      <c r="H752" s="15" t="n"/>
      <c r="I752" s="15" t="n"/>
    </row>
    <row r="753" ht="15.75" customHeight="1" s="48">
      <c r="A753" s="15" t="n"/>
      <c r="B753" s="15" t="n"/>
      <c r="C753" s="15" t="n"/>
      <c r="D753" s="15" t="n"/>
      <c r="E753" s="15" t="n"/>
      <c r="F753" s="15" t="n"/>
      <c r="G753" s="15" t="n"/>
      <c r="H753" s="15" t="n"/>
      <c r="I753" s="15" t="n"/>
    </row>
    <row r="754" ht="15.75" customHeight="1" s="48">
      <c r="A754" s="15" t="n"/>
      <c r="B754" s="15" t="n"/>
      <c r="C754" s="15" t="n"/>
      <c r="D754" s="15" t="n"/>
      <c r="E754" s="15" t="n"/>
      <c r="F754" s="15" t="n"/>
      <c r="G754" s="15" t="n"/>
      <c r="H754" s="15" t="n"/>
      <c r="I754" s="15" t="n"/>
    </row>
    <row r="755" ht="15.75" customHeight="1" s="48">
      <c r="A755" s="15" t="n"/>
      <c r="B755" s="15" t="n"/>
      <c r="C755" s="15" t="n"/>
      <c r="D755" s="15" t="n"/>
      <c r="E755" s="15" t="n"/>
      <c r="F755" s="15" t="n"/>
      <c r="G755" s="15" t="n"/>
      <c r="H755" s="15" t="n"/>
      <c r="I755" s="15" t="n"/>
    </row>
    <row r="756" ht="15.75" customHeight="1" s="48">
      <c r="A756" s="15" t="n"/>
      <c r="B756" s="15" t="n"/>
      <c r="C756" s="15" t="n"/>
      <c r="D756" s="15" t="n"/>
      <c r="E756" s="15" t="n"/>
      <c r="F756" s="15" t="n"/>
      <c r="G756" s="15" t="n"/>
      <c r="H756" s="15" t="n"/>
      <c r="I756" s="15" t="n"/>
    </row>
    <row r="757" ht="15.75" customHeight="1" s="48">
      <c r="A757" s="15" t="n"/>
      <c r="B757" s="15" t="n"/>
      <c r="C757" s="15" t="n"/>
      <c r="D757" s="15" t="n"/>
      <c r="E757" s="15" t="n"/>
      <c r="F757" s="15" t="n"/>
      <c r="G757" s="15" t="n"/>
      <c r="H757" s="15" t="n"/>
      <c r="I757" s="15" t="n"/>
    </row>
    <row r="758" ht="15.75" customHeight="1" s="48">
      <c r="A758" s="15" t="n"/>
      <c r="B758" s="15" t="n"/>
      <c r="C758" s="15" t="n"/>
      <c r="D758" s="15" t="n"/>
      <c r="E758" s="15" t="n"/>
      <c r="F758" s="15" t="n"/>
      <c r="G758" s="15" t="n"/>
      <c r="H758" s="15" t="n"/>
      <c r="I758" s="15" t="n"/>
    </row>
    <row r="759" ht="15.75" customHeight="1" s="48">
      <c r="A759" s="15" t="n"/>
      <c r="B759" s="15" t="n"/>
      <c r="C759" s="15" t="n"/>
      <c r="D759" s="15" t="n"/>
      <c r="E759" s="15" t="n"/>
      <c r="F759" s="15" t="n"/>
      <c r="G759" s="15" t="n"/>
      <c r="H759" s="15" t="n"/>
      <c r="I759" s="15" t="n"/>
    </row>
    <row r="760" ht="15.75" customHeight="1" s="48">
      <c r="A760" s="15" t="n"/>
      <c r="B760" s="15" t="n"/>
      <c r="C760" s="15" t="n"/>
      <c r="D760" s="15" t="n"/>
      <c r="E760" s="15" t="n"/>
      <c r="F760" s="15" t="n"/>
      <c r="G760" s="15" t="n"/>
      <c r="H760" s="15" t="n"/>
      <c r="I760" s="15" t="n"/>
    </row>
    <row r="761" ht="15.75" customHeight="1" s="48">
      <c r="A761" s="15" t="n"/>
      <c r="B761" s="15" t="n"/>
      <c r="C761" s="15" t="n"/>
      <c r="D761" s="15" t="n"/>
      <c r="E761" s="15" t="n"/>
      <c r="F761" s="15" t="n"/>
      <c r="G761" s="15" t="n"/>
      <c r="H761" s="15" t="n"/>
      <c r="I761" s="15" t="n"/>
    </row>
    <row r="762" ht="15.75" customHeight="1" s="48">
      <c r="A762" s="15" t="n"/>
      <c r="B762" s="15" t="n"/>
      <c r="C762" s="15" t="n"/>
      <c r="D762" s="15" t="n"/>
      <c r="E762" s="15" t="n"/>
      <c r="F762" s="15" t="n"/>
      <c r="G762" s="15" t="n"/>
      <c r="H762" s="15" t="n"/>
      <c r="I762" s="15" t="n"/>
    </row>
    <row r="763" ht="15.75" customHeight="1" s="48">
      <c r="A763" s="15" t="n"/>
      <c r="B763" s="15" t="n"/>
      <c r="C763" s="15" t="n"/>
      <c r="D763" s="15" t="n"/>
      <c r="E763" s="15" t="n"/>
      <c r="F763" s="15" t="n"/>
      <c r="G763" s="15" t="n"/>
      <c r="H763" s="15" t="n"/>
      <c r="I763" s="15" t="n"/>
    </row>
    <row r="764" ht="15.75" customHeight="1" s="48">
      <c r="A764" s="15" t="n"/>
      <c r="B764" s="15" t="n"/>
      <c r="C764" s="15" t="n"/>
      <c r="D764" s="15" t="n"/>
      <c r="E764" s="15" t="n"/>
      <c r="F764" s="15" t="n"/>
      <c r="G764" s="15" t="n"/>
      <c r="H764" s="15" t="n"/>
      <c r="I764" s="15" t="n"/>
    </row>
    <row r="765" ht="15.75" customHeight="1" s="48">
      <c r="A765" s="15" t="n"/>
      <c r="B765" s="15" t="n"/>
      <c r="C765" s="15" t="n"/>
      <c r="D765" s="15" t="n"/>
      <c r="E765" s="15" t="n"/>
      <c r="F765" s="15" t="n"/>
      <c r="G765" s="15" t="n"/>
      <c r="H765" s="15" t="n"/>
      <c r="I765" s="15" t="n"/>
    </row>
    <row r="766" ht="15.75" customHeight="1" s="48">
      <c r="A766" s="15" t="n"/>
      <c r="B766" s="15" t="n"/>
      <c r="C766" s="15" t="n"/>
      <c r="D766" s="15" t="n"/>
      <c r="E766" s="15" t="n"/>
      <c r="F766" s="15" t="n"/>
      <c r="G766" s="15" t="n"/>
      <c r="H766" s="15" t="n"/>
      <c r="I766" s="15" t="n"/>
    </row>
    <row r="767" ht="15.75" customHeight="1" s="48">
      <c r="A767" s="15" t="n"/>
      <c r="B767" s="15" t="n"/>
      <c r="C767" s="15" t="n"/>
      <c r="D767" s="15" t="n"/>
      <c r="E767" s="15" t="n"/>
      <c r="F767" s="15" t="n"/>
      <c r="G767" s="15" t="n"/>
      <c r="H767" s="15" t="n"/>
      <c r="I767" s="15" t="n"/>
    </row>
    <row r="768" ht="15.75" customHeight="1" s="48">
      <c r="A768" s="15" t="n"/>
      <c r="B768" s="15" t="n"/>
      <c r="C768" s="15" t="n"/>
      <c r="D768" s="15" t="n"/>
      <c r="E768" s="15" t="n"/>
      <c r="F768" s="15" t="n"/>
      <c r="G768" s="15" t="n"/>
      <c r="H768" s="15" t="n"/>
      <c r="I768" s="15" t="n"/>
    </row>
    <row r="769" ht="15.75" customHeight="1" s="48">
      <c r="A769" s="15" t="n"/>
      <c r="B769" s="15" t="n"/>
      <c r="C769" s="15" t="n"/>
      <c r="D769" s="15" t="n"/>
      <c r="E769" s="15" t="n"/>
      <c r="F769" s="15" t="n"/>
      <c r="G769" s="15" t="n"/>
      <c r="H769" s="15" t="n"/>
      <c r="I769" s="15" t="n"/>
    </row>
    <row r="770" ht="15.75" customHeight="1" s="48">
      <c r="A770" s="15" t="n"/>
      <c r="B770" s="15" t="n"/>
      <c r="C770" s="15" t="n"/>
      <c r="D770" s="15" t="n"/>
      <c r="E770" s="15" t="n"/>
      <c r="F770" s="15" t="n"/>
      <c r="G770" s="15" t="n"/>
      <c r="H770" s="15" t="n"/>
      <c r="I770" s="15" t="n"/>
    </row>
    <row r="771" ht="15.75" customHeight="1" s="48">
      <c r="A771" s="15" t="n"/>
      <c r="B771" s="15" t="n"/>
      <c r="C771" s="15" t="n"/>
      <c r="D771" s="15" t="n"/>
      <c r="E771" s="15" t="n"/>
      <c r="F771" s="15" t="n"/>
      <c r="G771" s="15" t="n"/>
      <c r="H771" s="15" t="n"/>
      <c r="I771" s="15" t="n"/>
    </row>
    <row r="772" ht="15.75" customHeight="1" s="48">
      <c r="A772" s="15" t="n"/>
      <c r="B772" s="15" t="n"/>
      <c r="C772" s="15" t="n"/>
      <c r="D772" s="15" t="n"/>
      <c r="E772" s="15" t="n"/>
      <c r="F772" s="15" t="n"/>
      <c r="G772" s="15" t="n"/>
      <c r="H772" s="15" t="n"/>
      <c r="I772" s="15" t="n"/>
    </row>
    <row r="773" ht="15.75" customHeight="1" s="48">
      <c r="A773" s="15" t="n"/>
      <c r="B773" s="15" t="n"/>
      <c r="C773" s="15" t="n"/>
      <c r="D773" s="15" t="n"/>
      <c r="E773" s="15" t="n"/>
      <c r="F773" s="15" t="n"/>
      <c r="G773" s="15" t="n"/>
      <c r="H773" s="15" t="n"/>
      <c r="I773" s="15" t="n"/>
    </row>
    <row r="774" ht="15.75" customHeight="1" s="48">
      <c r="A774" s="15" t="n"/>
      <c r="B774" s="15" t="n"/>
      <c r="C774" s="15" t="n"/>
      <c r="D774" s="15" t="n"/>
      <c r="E774" s="15" t="n"/>
      <c r="F774" s="15" t="n"/>
      <c r="G774" s="15" t="n"/>
      <c r="H774" s="15" t="n"/>
      <c r="I774" s="15" t="n"/>
    </row>
    <row r="775" ht="15.75" customHeight="1" s="48">
      <c r="A775" s="15" t="n"/>
      <c r="B775" s="15" t="n"/>
      <c r="C775" s="15" t="n"/>
      <c r="D775" s="15" t="n"/>
      <c r="E775" s="15" t="n"/>
      <c r="F775" s="15" t="n"/>
      <c r="G775" s="15" t="n"/>
      <c r="H775" s="15" t="n"/>
      <c r="I775" s="15" t="n"/>
    </row>
    <row r="776" ht="15.75" customHeight="1" s="48">
      <c r="A776" s="15" t="n"/>
      <c r="B776" s="15" t="n"/>
      <c r="C776" s="15" t="n"/>
      <c r="D776" s="15" t="n"/>
      <c r="E776" s="15" t="n"/>
      <c r="F776" s="15" t="n"/>
      <c r="G776" s="15" t="n"/>
      <c r="H776" s="15" t="n"/>
      <c r="I776" s="15" t="n"/>
    </row>
    <row r="777" ht="15.75" customHeight="1" s="48">
      <c r="A777" s="15" t="n"/>
      <c r="B777" s="15" t="n"/>
      <c r="C777" s="15" t="n"/>
      <c r="D777" s="15" t="n"/>
      <c r="E777" s="15" t="n"/>
      <c r="F777" s="15" t="n"/>
      <c r="G777" s="15" t="n"/>
      <c r="H777" s="15" t="n"/>
      <c r="I777" s="15" t="n"/>
    </row>
    <row r="778" ht="15.75" customHeight="1" s="48">
      <c r="A778" s="15" t="n"/>
      <c r="B778" s="15" t="n"/>
      <c r="C778" s="15" t="n"/>
      <c r="D778" s="15" t="n"/>
      <c r="E778" s="15" t="n"/>
      <c r="F778" s="15" t="n"/>
      <c r="G778" s="15" t="n"/>
      <c r="H778" s="15" t="n"/>
      <c r="I778" s="15" t="n"/>
    </row>
    <row r="779" ht="15.75" customHeight="1" s="48">
      <c r="A779" s="15" t="n"/>
      <c r="B779" s="15" t="n"/>
      <c r="C779" s="15" t="n"/>
      <c r="D779" s="15" t="n"/>
      <c r="E779" s="15" t="n"/>
      <c r="F779" s="15" t="n"/>
      <c r="G779" s="15" t="n"/>
      <c r="H779" s="15" t="n"/>
      <c r="I779" s="15" t="n"/>
    </row>
    <row r="780" ht="15.75" customHeight="1" s="48">
      <c r="A780" s="15" t="n"/>
      <c r="B780" s="15" t="n"/>
      <c r="C780" s="15" t="n"/>
      <c r="D780" s="15" t="n"/>
      <c r="E780" s="15" t="n"/>
      <c r="F780" s="15" t="n"/>
      <c r="G780" s="15" t="n"/>
      <c r="H780" s="15" t="n"/>
      <c r="I780" s="15" t="n"/>
    </row>
    <row r="781" ht="15.75" customHeight="1" s="48">
      <c r="A781" s="15" t="n"/>
      <c r="B781" s="15" t="n"/>
      <c r="C781" s="15" t="n"/>
      <c r="D781" s="15" t="n"/>
      <c r="E781" s="15" t="n"/>
      <c r="F781" s="15" t="n"/>
      <c r="G781" s="15" t="n"/>
      <c r="H781" s="15" t="n"/>
      <c r="I781" s="15" t="n"/>
    </row>
    <row r="782" ht="15.75" customHeight="1" s="48">
      <c r="A782" s="15" t="n"/>
      <c r="B782" s="15" t="n"/>
      <c r="C782" s="15" t="n"/>
      <c r="D782" s="15" t="n"/>
      <c r="E782" s="15" t="n"/>
      <c r="F782" s="15" t="n"/>
      <c r="G782" s="15" t="n"/>
      <c r="H782" s="15" t="n"/>
      <c r="I782" s="15" t="n"/>
    </row>
    <row r="783" ht="15.75" customHeight="1" s="48">
      <c r="A783" s="15" t="n"/>
      <c r="B783" s="15" t="n"/>
      <c r="C783" s="15" t="n"/>
      <c r="D783" s="15" t="n"/>
      <c r="E783" s="15" t="n"/>
      <c r="F783" s="15" t="n"/>
      <c r="G783" s="15" t="n"/>
      <c r="H783" s="15" t="n"/>
      <c r="I783" s="15" t="n"/>
    </row>
    <row r="784" ht="15.75" customHeight="1" s="48">
      <c r="A784" s="15" t="n"/>
      <c r="B784" s="15" t="n"/>
      <c r="C784" s="15" t="n"/>
      <c r="D784" s="15" t="n"/>
      <c r="E784" s="15" t="n"/>
      <c r="F784" s="15" t="n"/>
      <c r="G784" s="15" t="n"/>
      <c r="H784" s="15" t="n"/>
      <c r="I784" s="15" t="n"/>
    </row>
    <row r="785" ht="15.75" customHeight="1" s="48">
      <c r="A785" s="15" t="n"/>
      <c r="B785" s="15" t="n"/>
      <c r="C785" s="15" t="n"/>
      <c r="D785" s="15" t="n"/>
      <c r="E785" s="15" t="n"/>
      <c r="F785" s="15" t="n"/>
      <c r="G785" s="15" t="n"/>
      <c r="H785" s="15" t="n"/>
      <c r="I785" s="15" t="n"/>
    </row>
    <row r="786" ht="15.75" customHeight="1" s="48">
      <c r="A786" s="15" t="n"/>
      <c r="B786" s="15" t="n"/>
      <c r="C786" s="15" t="n"/>
      <c r="D786" s="15" t="n"/>
      <c r="E786" s="15" t="n"/>
      <c r="F786" s="15" t="n"/>
      <c r="G786" s="15" t="n"/>
      <c r="H786" s="15" t="n"/>
      <c r="I786" s="15" t="n"/>
    </row>
    <row r="787" ht="15.75" customHeight="1" s="48">
      <c r="A787" s="15" t="n"/>
      <c r="B787" s="15" t="n"/>
      <c r="C787" s="15" t="n"/>
      <c r="D787" s="15" t="n"/>
      <c r="E787" s="15" t="n"/>
      <c r="F787" s="15" t="n"/>
      <c r="G787" s="15" t="n"/>
      <c r="H787" s="15" t="n"/>
      <c r="I787" s="15" t="n"/>
    </row>
    <row r="788" ht="15.75" customHeight="1" s="48">
      <c r="A788" s="15" t="n"/>
      <c r="B788" s="15" t="n"/>
      <c r="C788" s="15" t="n"/>
      <c r="D788" s="15" t="n"/>
      <c r="E788" s="15" t="n"/>
      <c r="F788" s="15" t="n"/>
      <c r="G788" s="15" t="n"/>
      <c r="H788" s="15" t="n"/>
      <c r="I788" s="15" t="n"/>
    </row>
    <row r="789" ht="15.75" customHeight="1" s="48">
      <c r="A789" s="15" t="n"/>
      <c r="B789" s="15" t="n"/>
      <c r="C789" s="15" t="n"/>
      <c r="D789" s="15" t="n"/>
      <c r="E789" s="15" t="n"/>
      <c r="F789" s="15" t="n"/>
      <c r="G789" s="15" t="n"/>
      <c r="H789" s="15" t="n"/>
      <c r="I789" s="15" t="n"/>
    </row>
    <row r="790" ht="15.75" customHeight="1" s="48">
      <c r="A790" s="15" t="n"/>
      <c r="B790" s="15" t="n"/>
      <c r="C790" s="15" t="n"/>
      <c r="D790" s="15" t="n"/>
      <c r="E790" s="15" t="n"/>
      <c r="F790" s="15" t="n"/>
      <c r="G790" s="15" t="n"/>
      <c r="H790" s="15" t="n"/>
      <c r="I790" s="15" t="n"/>
    </row>
    <row r="791" ht="15.75" customHeight="1" s="48">
      <c r="A791" s="15" t="n"/>
      <c r="B791" s="15" t="n"/>
      <c r="C791" s="15" t="n"/>
      <c r="D791" s="15" t="n"/>
      <c r="E791" s="15" t="n"/>
      <c r="F791" s="15" t="n"/>
      <c r="G791" s="15" t="n"/>
      <c r="H791" s="15" t="n"/>
      <c r="I791" s="15" t="n"/>
    </row>
    <row r="792" ht="15.75" customHeight="1" s="48">
      <c r="A792" s="15" t="n"/>
      <c r="B792" s="15" t="n"/>
      <c r="C792" s="15" t="n"/>
      <c r="D792" s="15" t="n"/>
      <c r="E792" s="15" t="n"/>
      <c r="F792" s="15" t="n"/>
      <c r="G792" s="15" t="n"/>
      <c r="H792" s="15" t="n"/>
      <c r="I792" s="15" t="n"/>
    </row>
    <row r="793" ht="15.75" customHeight="1" s="48">
      <c r="A793" s="15" t="n"/>
      <c r="B793" s="15" t="n"/>
      <c r="C793" s="15" t="n"/>
      <c r="D793" s="15" t="n"/>
      <c r="E793" s="15" t="n"/>
      <c r="F793" s="15" t="n"/>
      <c r="G793" s="15" t="n"/>
      <c r="H793" s="15" t="n"/>
      <c r="I793" s="15" t="n"/>
    </row>
    <row r="794" ht="15.75" customHeight="1" s="48">
      <c r="A794" s="15" t="n"/>
      <c r="B794" s="15" t="n"/>
      <c r="C794" s="15" t="n"/>
      <c r="D794" s="15" t="n"/>
      <c r="E794" s="15" t="n"/>
      <c r="F794" s="15" t="n"/>
      <c r="G794" s="15" t="n"/>
      <c r="H794" s="15" t="n"/>
      <c r="I794" s="15" t="n"/>
    </row>
    <row r="795" ht="15.75" customHeight="1" s="48">
      <c r="A795" s="15" t="n"/>
      <c r="B795" s="15" t="n"/>
      <c r="C795" s="15" t="n"/>
      <c r="D795" s="15" t="n"/>
      <c r="E795" s="15" t="n"/>
      <c r="F795" s="15" t="n"/>
      <c r="G795" s="15" t="n"/>
      <c r="H795" s="15" t="n"/>
      <c r="I795" s="15" t="n"/>
    </row>
    <row r="796" ht="15.75" customHeight="1" s="48">
      <c r="A796" s="15" t="n"/>
      <c r="B796" s="15" t="n"/>
      <c r="C796" s="15" t="n"/>
      <c r="D796" s="15" t="n"/>
      <c r="E796" s="15" t="n"/>
      <c r="F796" s="15" t="n"/>
      <c r="G796" s="15" t="n"/>
      <c r="H796" s="15" t="n"/>
      <c r="I796" s="15" t="n"/>
    </row>
    <row r="797" ht="15.75" customHeight="1" s="48">
      <c r="A797" s="15" t="n"/>
      <c r="B797" s="15" t="n"/>
      <c r="C797" s="15" t="n"/>
      <c r="D797" s="15" t="n"/>
      <c r="E797" s="15" t="n"/>
      <c r="F797" s="15" t="n"/>
      <c r="G797" s="15" t="n"/>
      <c r="H797" s="15" t="n"/>
      <c r="I797" s="15" t="n"/>
    </row>
    <row r="798" ht="15.75" customHeight="1" s="48">
      <c r="A798" s="15" t="n"/>
      <c r="B798" s="15" t="n"/>
      <c r="C798" s="15" t="n"/>
      <c r="D798" s="15" t="n"/>
      <c r="E798" s="15" t="n"/>
      <c r="F798" s="15" t="n"/>
      <c r="G798" s="15" t="n"/>
      <c r="H798" s="15" t="n"/>
      <c r="I798" s="15" t="n"/>
    </row>
    <row r="799" ht="15.75" customHeight="1" s="48">
      <c r="A799" s="15" t="n"/>
      <c r="B799" s="15" t="n"/>
      <c r="C799" s="15" t="n"/>
      <c r="D799" s="15" t="n"/>
      <c r="E799" s="15" t="n"/>
      <c r="F799" s="15" t="n"/>
      <c r="G799" s="15" t="n"/>
      <c r="H799" s="15" t="n"/>
      <c r="I799" s="15" t="n"/>
    </row>
    <row r="800" ht="15.75" customHeight="1" s="48">
      <c r="A800" s="15" t="n"/>
      <c r="B800" s="15" t="n"/>
      <c r="C800" s="15" t="n"/>
      <c r="D800" s="15" t="n"/>
      <c r="E800" s="15" t="n"/>
      <c r="F800" s="15" t="n"/>
      <c r="G800" s="15" t="n"/>
      <c r="H800" s="15" t="n"/>
      <c r="I800" s="15" t="n"/>
    </row>
    <row r="801" ht="15.75" customHeight="1" s="48">
      <c r="A801" s="15" t="n"/>
      <c r="B801" s="15" t="n"/>
      <c r="C801" s="15" t="n"/>
      <c r="D801" s="15" t="n"/>
      <c r="E801" s="15" t="n"/>
      <c r="F801" s="15" t="n"/>
      <c r="G801" s="15" t="n"/>
      <c r="H801" s="15" t="n"/>
      <c r="I801" s="15" t="n"/>
    </row>
    <row r="802" ht="15.75" customHeight="1" s="48">
      <c r="A802" s="15" t="n"/>
      <c r="B802" s="15" t="n"/>
      <c r="C802" s="15" t="n"/>
      <c r="D802" s="15" t="n"/>
      <c r="E802" s="15" t="n"/>
      <c r="F802" s="15" t="n"/>
      <c r="G802" s="15" t="n"/>
      <c r="H802" s="15" t="n"/>
      <c r="I802" s="15" t="n"/>
    </row>
    <row r="803" ht="15.75" customHeight="1" s="48">
      <c r="A803" s="15" t="n"/>
      <c r="B803" s="15" t="n"/>
      <c r="C803" s="15" t="n"/>
      <c r="D803" s="15" t="n"/>
      <c r="E803" s="15" t="n"/>
      <c r="F803" s="15" t="n"/>
      <c r="G803" s="15" t="n"/>
      <c r="H803" s="15" t="n"/>
      <c r="I803" s="15" t="n"/>
    </row>
    <row r="804" ht="15.75" customHeight="1" s="48">
      <c r="A804" s="15" t="n"/>
      <c r="B804" s="15" t="n"/>
      <c r="C804" s="15" t="n"/>
      <c r="D804" s="15" t="n"/>
      <c r="E804" s="15" t="n"/>
      <c r="F804" s="15" t="n"/>
      <c r="G804" s="15" t="n"/>
      <c r="H804" s="15" t="n"/>
      <c r="I804" s="15" t="n"/>
    </row>
    <row r="805" ht="15.75" customHeight="1" s="48">
      <c r="A805" s="15" t="n"/>
      <c r="B805" s="15" t="n"/>
      <c r="C805" s="15" t="n"/>
      <c r="D805" s="15" t="n"/>
      <c r="E805" s="15" t="n"/>
      <c r="F805" s="15" t="n"/>
      <c r="G805" s="15" t="n"/>
      <c r="H805" s="15" t="n"/>
      <c r="I805" s="15" t="n"/>
    </row>
    <row r="806" ht="15.75" customHeight="1" s="48">
      <c r="A806" s="15" t="n"/>
      <c r="B806" s="15" t="n"/>
      <c r="C806" s="15" t="n"/>
      <c r="D806" s="15" t="n"/>
      <c r="E806" s="15" t="n"/>
      <c r="F806" s="15" t="n"/>
      <c r="G806" s="15" t="n"/>
      <c r="H806" s="15" t="n"/>
      <c r="I806" s="15" t="n"/>
    </row>
    <row r="807" ht="15.75" customHeight="1" s="48">
      <c r="A807" s="15" t="n"/>
      <c r="B807" s="15" t="n"/>
      <c r="C807" s="15" t="n"/>
      <c r="D807" s="15" t="n"/>
      <c r="E807" s="15" t="n"/>
      <c r="F807" s="15" t="n"/>
      <c r="G807" s="15" t="n"/>
      <c r="H807" s="15" t="n"/>
      <c r="I807" s="15" t="n"/>
    </row>
    <row r="808" ht="15.75" customHeight="1" s="48">
      <c r="A808" s="15" t="n"/>
      <c r="B808" s="15" t="n"/>
      <c r="C808" s="15" t="n"/>
      <c r="D808" s="15" t="n"/>
      <c r="E808" s="15" t="n"/>
      <c r="F808" s="15" t="n"/>
      <c r="G808" s="15" t="n"/>
      <c r="H808" s="15" t="n"/>
      <c r="I808" s="15" t="n"/>
    </row>
    <row r="809" ht="15.75" customHeight="1" s="48">
      <c r="A809" s="15" t="n"/>
      <c r="B809" s="15" t="n"/>
      <c r="C809" s="15" t="n"/>
      <c r="D809" s="15" t="n"/>
      <c r="E809" s="15" t="n"/>
      <c r="F809" s="15" t="n"/>
      <c r="G809" s="15" t="n"/>
      <c r="H809" s="15" t="n"/>
      <c r="I809" s="15" t="n"/>
    </row>
    <row r="810" ht="15.75" customHeight="1" s="48">
      <c r="A810" s="15" t="n"/>
      <c r="B810" s="15" t="n"/>
      <c r="C810" s="15" t="n"/>
      <c r="D810" s="15" t="n"/>
      <c r="E810" s="15" t="n"/>
      <c r="F810" s="15" t="n"/>
      <c r="G810" s="15" t="n"/>
      <c r="H810" s="15" t="n"/>
      <c r="I810" s="15" t="n"/>
    </row>
    <row r="811" ht="15.75" customHeight="1" s="48">
      <c r="A811" s="15" t="n"/>
      <c r="B811" s="15" t="n"/>
      <c r="C811" s="15" t="n"/>
      <c r="D811" s="15" t="n"/>
      <c r="E811" s="15" t="n"/>
      <c r="F811" s="15" t="n"/>
      <c r="G811" s="15" t="n"/>
      <c r="H811" s="15" t="n"/>
      <c r="I811" s="15" t="n"/>
    </row>
    <row r="812" ht="15.75" customHeight="1" s="48">
      <c r="A812" s="15" t="n"/>
      <c r="B812" s="15" t="n"/>
      <c r="C812" s="15" t="n"/>
      <c r="D812" s="15" t="n"/>
      <c r="E812" s="15" t="n"/>
      <c r="F812" s="15" t="n"/>
      <c r="G812" s="15" t="n"/>
      <c r="H812" s="15" t="n"/>
      <c r="I812" s="15" t="n"/>
    </row>
    <row r="813" ht="15.75" customHeight="1" s="48">
      <c r="A813" s="15" t="n"/>
      <c r="B813" s="15" t="n"/>
      <c r="C813" s="15" t="n"/>
      <c r="D813" s="15" t="n"/>
      <c r="E813" s="15" t="n"/>
      <c r="F813" s="15" t="n"/>
      <c r="G813" s="15" t="n"/>
      <c r="H813" s="15" t="n"/>
      <c r="I813" s="15" t="n"/>
    </row>
    <row r="814" ht="15.75" customHeight="1" s="48">
      <c r="A814" s="15" t="n"/>
      <c r="B814" s="15" t="n"/>
      <c r="C814" s="15" t="n"/>
      <c r="D814" s="15" t="n"/>
      <c r="E814" s="15" t="n"/>
      <c r="F814" s="15" t="n"/>
      <c r="G814" s="15" t="n"/>
      <c r="H814" s="15" t="n"/>
      <c r="I814" s="15" t="n"/>
    </row>
    <row r="815" ht="15.75" customHeight="1" s="48">
      <c r="A815" s="15" t="n"/>
      <c r="B815" s="15" t="n"/>
      <c r="C815" s="15" t="n"/>
      <c r="D815" s="15" t="n"/>
      <c r="E815" s="15" t="n"/>
      <c r="F815" s="15" t="n"/>
      <c r="G815" s="15" t="n"/>
      <c r="H815" s="15" t="n"/>
      <c r="I815" s="15" t="n"/>
    </row>
    <row r="816" ht="15.75" customHeight="1" s="48">
      <c r="A816" s="15" t="n"/>
      <c r="B816" s="15" t="n"/>
      <c r="C816" s="15" t="n"/>
      <c r="D816" s="15" t="n"/>
      <c r="E816" s="15" t="n"/>
      <c r="F816" s="15" t="n"/>
      <c r="G816" s="15" t="n"/>
      <c r="H816" s="15" t="n"/>
      <c r="I816" s="15" t="n"/>
    </row>
    <row r="817" ht="15.75" customHeight="1" s="48">
      <c r="A817" s="15" t="n"/>
      <c r="B817" s="15" t="n"/>
      <c r="C817" s="15" t="n"/>
      <c r="D817" s="15" t="n"/>
      <c r="E817" s="15" t="n"/>
      <c r="F817" s="15" t="n"/>
      <c r="G817" s="15" t="n"/>
      <c r="H817" s="15" t="n"/>
      <c r="I817" s="15" t="n"/>
    </row>
    <row r="818" ht="15.75" customHeight="1" s="48">
      <c r="A818" s="15" t="n"/>
      <c r="B818" s="15" t="n"/>
      <c r="C818" s="15" t="n"/>
      <c r="D818" s="15" t="n"/>
      <c r="E818" s="15" t="n"/>
      <c r="F818" s="15" t="n"/>
      <c r="G818" s="15" t="n"/>
      <c r="H818" s="15" t="n"/>
      <c r="I818" s="15" t="n"/>
    </row>
    <row r="819" ht="15.75" customHeight="1" s="48">
      <c r="A819" s="15" t="n"/>
      <c r="B819" s="15" t="n"/>
      <c r="C819" s="15" t="n"/>
      <c r="D819" s="15" t="n"/>
      <c r="E819" s="15" t="n"/>
      <c r="F819" s="15" t="n"/>
      <c r="G819" s="15" t="n"/>
      <c r="H819" s="15" t="n"/>
      <c r="I819" s="15" t="n"/>
    </row>
    <row r="820" ht="15.75" customHeight="1" s="48">
      <c r="A820" s="15" t="n"/>
      <c r="B820" s="15" t="n"/>
      <c r="C820" s="15" t="n"/>
      <c r="D820" s="15" t="n"/>
      <c r="E820" s="15" t="n"/>
      <c r="F820" s="15" t="n"/>
      <c r="G820" s="15" t="n"/>
      <c r="H820" s="15" t="n"/>
      <c r="I820" s="15" t="n"/>
    </row>
    <row r="821" ht="15.75" customHeight="1" s="48">
      <c r="A821" s="15" t="n"/>
      <c r="B821" s="15" t="n"/>
      <c r="C821" s="15" t="n"/>
      <c r="D821" s="15" t="n"/>
      <c r="E821" s="15" t="n"/>
      <c r="F821" s="15" t="n"/>
      <c r="G821" s="15" t="n"/>
      <c r="H821" s="15" t="n"/>
      <c r="I821" s="15" t="n"/>
    </row>
    <row r="822" ht="15.75" customHeight="1" s="48">
      <c r="A822" s="15" t="n"/>
      <c r="B822" s="15" t="n"/>
      <c r="C822" s="15" t="n"/>
      <c r="D822" s="15" t="n"/>
      <c r="E822" s="15" t="n"/>
      <c r="F822" s="15" t="n"/>
      <c r="G822" s="15" t="n"/>
      <c r="H822" s="15" t="n"/>
      <c r="I822" s="15" t="n"/>
    </row>
    <row r="823" ht="15.75" customHeight="1" s="48">
      <c r="A823" s="15" t="n"/>
      <c r="B823" s="15" t="n"/>
      <c r="C823" s="15" t="n"/>
      <c r="D823" s="15" t="n"/>
      <c r="E823" s="15" t="n"/>
      <c r="F823" s="15" t="n"/>
      <c r="G823" s="15" t="n"/>
      <c r="H823" s="15" t="n"/>
      <c r="I823" s="15" t="n"/>
    </row>
    <row r="824" ht="15.75" customHeight="1" s="48">
      <c r="A824" s="15" t="n"/>
      <c r="B824" s="15" t="n"/>
      <c r="C824" s="15" t="n"/>
      <c r="D824" s="15" t="n"/>
      <c r="E824" s="15" t="n"/>
      <c r="F824" s="15" t="n"/>
      <c r="G824" s="15" t="n"/>
      <c r="H824" s="15" t="n"/>
      <c r="I824" s="15" t="n"/>
    </row>
    <row r="825" ht="15.75" customHeight="1" s="48">
      <c r="A825" s="15" t="n"/>
      <c r="B825" s="15" t="n"/>
      <c r="C825" s="15" t="n"/>
      <c r="D825" s="15" t="n"/>
      <c r="E825" s="15" t="n"/>
      <c r="F825" s="15" t="n"/>
      <c r="G825" s="15" t="n"/>
      <c r="H825" s="15" t="n"/>
      <c r="I825" s="15" t="n"/>
    </row>
    <row r="826" ht="15.75" customHeight="1" s="48">
      <c r="A826" s="15" t="n"/>
      <c r="B826" s="15" t="n"/>
      <c r="C826" s="15" t="n"/>
      <c r="D826" s="15" t="n"/>
      <c r="E826" s="15" t="n"/>
      <c r="F826" s="15" t="n"/>
      <c r="G826" s="15" t="n"/>
      <c r="H826" s="15" t="n"/>
      <c r="I826" s="15" t="n"/>
    </row>
    <row r="827" ht="15.75" customHeight="1" s="48">
      <c r="A827" s="15" t="n"/>
      <c r="B827" s="15" t="n"/>
      <c r="C827" s="15" t="n"/>
      <c r="D827" s="15" t="n"/>
      <c r="E827" s="15" t="n"/>
      <c r="F827" s="15" t="n"/>
      <c r="G827" s="15" t="n"/>
      <c r="H827" s="15" t="n"/>
      <c r="I827" s="15" t="n"/>
    </row>
    <row r="828" ht="15.75" customHeight="1" s="48">
      <c r="A828" s="15" t="n"/>
      <c r="B828" s="15" t="n"/>
      <c r="C828" s="15" t="n"/>
      <c r="D828" s="15" t="n"/>
      <c r="E828" s="15" t="n"/>
      <c r="F828" s="15" t="n"/>
      <c r="G828" s="15" t="n"/>
      <c r="H828" s="15" t="n"/>
      <c r="I828" s="15" t="n"/>
    </row>
    <row r="829" ht="15.75" customHeight="1" s="48">
      <c r="A829" s="15" t="n"/>
      <c r="B829" s="15" t="n"/>
      <c r="C829" s="15" t="n"/>
      <c r="D829" s="15" t="n"/>
      <c r="E829" s="15" t="n"/>
      <c r="F829" s="15" t="n"/>
      <c r="G829" s="15" t="n"/>
      <c r="H829" s="15" t="n"/>
      <c r="I829" s="15" t="n"/>
    </row>
    <row r="830" ht="15.75" customHeight="1" s="48">
      <c r="A830" s="15" t="n"/>
      <c r="B830" s="15" t="n"/>
      <c r="C830" s="15" t="n"/>
      <c r="D830" s="15" t="n"/>
      <c r="E830" s="15" t="n"/>
      <c r="F830" s="15" t="n"/>
      <c r="G830" s="15" t="n"/>
      <c r="H830" s="15" t="n"/>
      <c r="I830" s="15" t="n"/>
    </row>
    <row r="831" ht="15.75" customHeight="1" s="48">
      <c r="A831" s="15" t="n"/>
      <c r="B831" s="15" t="n"/>
      <c r="C831" s="15" t="n"/>
      <c r="D831" s="15" t="n"/>
      <c r="E831" s="15" t="n"/>
      <c r="F831" s="15" t="n"/>
      <c r="G831" s="15" t="n"/>
      <c r="H831" s="15" t="n"/>
      <c r="I831" s="15" t="n"/>
    </row>
    <row r="832" ht="15.75" customHeight="1" s="48">
      <c r="A832" s="15" t="n"/>
      <c r="B832" s="15" t="n"/>
      <c r="C832" s="15" t="n"/>
      <c r="D832" s="15" t="n"/>
      <c r="E832" s="15" t="n"/>
      <c r="F832" s="15" t="n"/>
      <c r="G832" s="15" t="n"/>
      <c r="H832" s="15" t="n"/>
      <c r="I832" s="15" t="n"/>
    </row>
    <row r="833" ht="15.75" customHeight="1" s="48">
      <c r="A833" s="15" t="n"/>
      <c r="B833" s="15" t="n"/>
      <c r="C833" s="15" t="n"/>
      <c r="D833" s="15" t="n"/>
      <c r="E833" s="15" t="n"/>
      <c r="F833" s="15" t="n"/>
      <c r="G833" s="15" t="n"/>
      <c r="H833" s="15" t="n"/>
      <c r="I833" s="15" t="n"/>
    </row>
    <row r="834" ht="15.75" customHeight="1" s="48">
      <c r="A834" s="15" t="n"/>
      <c r="B834" s="15" t="n"/>
      <c r="C834" s="15" t="n"/>
      <c r="D834" s="15" t="n"/>
      <c r="E834" s="15" t="n"/>
      <c r="F834" s="15" t="n"/>
      <c r="G834" s="15" t="n"/>
      <c r="H834" s="15" t="n"/>
      <c r="I834" s="15" t="n"/>
    </row>
    <row r="835" ht="15.75" customHeight="1" s="48">
      <c r="A835" s="15" t="n"/>
      <c r="B835" s="15" t="n"/>
      <c r="C835" s="15" t="n"/>
      <c r="D835" s="15" t="n"/>
      <c r="E835" s="15" t="n"/>
      <c r="F835" s="15" t="n"/>
      <c r="G835" s="15" t="n"/>
      <c r="H835" s="15" t="n"/>
      <c r="I835" s="15" t="n"/>
    </row>
    <row r="836" ht="15.75" customHeight="1" s="48">
      <c r="A836" s="15" t="n"/>
      <c r="B836" s="15" t="n"/>
      <c r="C836" s="15" t="n"/>
      <c r="D836" s="15" t="n"/>
      <c r="E836" s="15" t="n"/>
      <c r="F836" s="15" t="n"/>
      <c r="G836" s="15" t="n"/>
      <c r="H836" s="15" t="n"/>
      <c r="I836" s="15" t="n"/>
    </row>
    <row r="837" ht="15.75" customHeight="1" s="48">
      <c r="A837" s="15" t="n"/>
      <c r="B837" s="15" t="n"/>
      <c r="C837" s="15" t="n"/>
      <c r="D837" s="15" t="n"/>
      <c r="E837" s="15" t="n"/>
      <c r="F837" s="15" t="n"/>
      <c r="G837" s="15" t="n"/>
      <c r="H837" s="15" t="n"/>
      <c r="I837" s="15" t="n"/>
    </row>
    <row r="838" ht="15.75" customHeight="1" s="48">
      <c r="A838" s="15" t="n"/>
      <c r="B838" s="15" t="n"/>
      <c r="C838" s="15" t="n"/>
      <c r="D838" s="15" t="n"/>
      <c r="E838" s="15" t="n"/>
      <c r="F838" s="15" t="n"/>
      <c r="G838" s="15" t="n"/>
      <c r="H838" s="15" t="n"/>
      <c r="I838" s="15" t="n"/>
    </row>
    <row r="839" ht="15.75" customHeight="1" s="48">
      <c r="A839" s="15" t="n"/>
      <c r="B839" s="15" t="n"/>
      <c r="C839" s="15" t="n"/>
      <c r="D839" s="15" t="n"/>
      <c r="E839" s="15" t="n"/>
      <c r="F839" s="15" t="n"/>
      <c r="G839" s="15" t="n"/>
      <c r="H839" s="15" t="n"/>
      <c r="I839" s="15" t="n"/>
    </row>
    <row r="840" ht="15.75" customHeight="1" s="48">
      <c r="A840" s="15" t="n"/>
      <c r="B840" s="15" t="n"/>
      <c r="C840" s="15" t="n"/>
      <c r="D840" s="15" t="n"/>
      <c r="E840" s="15" t="n"/>
      <c r="F840" s="15" t="n"/>
      <c r="G840" s="15" t="n"/>
      <c r="H840" s="15" t="n"/>
      <c r="I840" s="15" t="n"/>
    </row>
    <row r="841" ht="15.75" customHeight="1" s="48">
      <c r="A841" s="15" t="n"/>
      <c r="B841" s="15" t="n"/>
      <c r="C841" s="15" t="n"/>
      <c r="D841" s="15" t="n"/>
      <c r="E841" s="15" t="n"/>
      <c r="F841" s="15" t="n"/>
      <c r="G841" s="15" t="n"/>
      <c r="H841" s="15" t="n"/>
      <c r="I841" s="15" t="n"/>
    </row>
    <row r="842" ht="15.75" customHeight="1" s="48">
      <c r="A842" s="15" t="n"/>
      <c r="B842" s="15" t="n"/>
      <c r="C842" s="15" t="n"/>
      <c r="D842" s="15" t="n"/>
      <c r="E842" s="15" t="n"/>
      <c r="F842" s="15" t="n"/>
      <c r="G842" s="15" t="n"/>
      <c r="H842" s="15" t="n"/>
      <c r="I842" s="15" t="n"/>
    </row>
    <row r="843" ht="15.75" customHeight="1" s="48">
      <c r="A843" s="15" t="n"/>
      <c r="B843" s="15" t="n"/>
      <c r="C843" s="15" t="n"/>
      <c r="D843" s="15" t="n"/>
      <c r="E843" s="15" t="n"/>
      <c r="F843" s="15" t="n"/>
      <c r="G843" s="15" t="n"/>
      <c r="H843" s="15" t="n"/>
      <c r="I843" s="15" t="n"/>
    </row>
    <row r="844" ht="15.75" customHeight="1" s="48">
      <c r="A844" s="15" t="n"/>
      <c r="B844" s="15" t="n"/>
      <c r="C844" s="15" t="n"/>
      <c r="D844" s="15" t="n"/>
      <c r="E844" s="15" t="n"/>
      <c r="F844" s="15" t="n"/>
      <c r="G844" s="15" t="n"/>
      <c r="H844" s="15" t="n"/>
      <c r="I844" s="15" t="n"/>
    </row>
    <row r="845" ht="15.75" customHeight="1" s="48">
      <c r="A845" s="15" t="n"/>
      <c r="B845" s="15" t="n"/>
      <c r="C845" s="15" t="n"/>
      <c r="D845" s="15" t="n"/>
      <c r="E845" s="15" t="n"/>
      <c r="F845" s="15" t="n"/>
      <c r="G845" s="15" t="n"/>
      <c r="H845" s="15" t="n"/>
      <c r="I845" s="15" t="n"/>
    </row>
    <row r="846" ht="15.75" customHeight="1" s="48">
      <c r="A846" s="15" t="n"/>
      <c r="B846" s="15" t="n"/>
      <c r="C846" s="15" t="n"/>
      <c r="D846" s="15" t="n"/>
      <c r="E846" s="15" t="n"/>
      <c r="F846" s="15" t="n"/>
      <c r="G846" s="15" t="n"/>
      <c r="H846" s="15" t="n"/>
      <c r="I846" s="15" t="n"/>
    </row>
    <row r="847" ht="15.75" customHeight="1" s="48">
      <c r="A847" s="15" t="n"/>
      <c r="B847" s="15" t="n"/>
      <c r="C847" s="15" t="n"/>
      <c r="D847" s="15" t="n"/>
      <c r="E847" s="15" t="n"/>
      <c r="F847" s="15" t="n"/>
      <c r="G847" s="15" t="n"/>
      <c r="H847" s="15" t="n"/>
      <c r="I847" s="15" t="n"/>
    </row>
    <row r="848" ht="15.75" customHeight="1" s="48">
      <c r="A848" s="15" t="n"/>
      <c r="B848" s="15" t="n"/>
      <c r="C848" s="15" t="n"/>
      <c r="D848" s="15" t="n"/>
      <c r="E848" s="15" t="n"/>
      <c r="F848" s="15" t="n"/>
      <c r="G848" s="15" t="n"/>
      <c r="H848" s="15" t="n"/>
      <c r="I848" s="15" t="n"/>
    </row>
    <row r="849" ht="15.75" customHeight="1" s="48">
      <c r="A849" s="15" t="n"/>
      <c r="B849" s="15" t="n"/>
      <c r="C849" s="15" t="n"/>
      <c r="D849" s="15" t="n"/>
      <c r="E849" s="15" t="n"/>
      <c r="F849" s="15" t="n"/>
      <c r="G849" s="15" t="n"/>
      <c r="H849" s="15" t="n"/>
      <c r="I849" s="15" t="n"/>
    </row>
    <row r="850" ht="15.75" customHeight="1" s="48">
      <c r="A850" s="15" t="n"/>
      <c r="B850" s="15" t="n"/>
      <c r="C850" s="15" t="n"/>
      <c r="D850" s="15" t="n"/>
      <c r="E850" s="15" t="n"/>
      <c r="F850" s="15" t="n"/>
      <c r="G850" s="15" t="n"/>
      <c r="H850" s="15" t="n"/>
      <c r="I850" s="15" t="n"/>
    </row>
    <row r="851" ht="15.75" customHeight="1" s="48">
      <c r="A851" s="15" t="n"/>
      <c r="B851" s="15" t="n"/>
      <c r="C851" s="15" t="n"/>
      <c r="D851" s="15" t="n"/>
      <c r="E851" s="15" t="n"/>
      <c r="F851" s="15" t="n"/>
      <c r="G851" s="15" t="n"/>
      <c r="H851" s="15" t="n"/>
      <c r="I851" s="15" t="n"/>
    </row>
    <row r="852" ht="15.75" customHeight="1" s="48">
      <c r="A852" s="15" t="n"/>
      <c r="B852" s="15" t="n"/>
      <c r="C852" s="15" t="n"/>
      <c r="D852" s="15" t="n"/>
      <c r="E852" s="15" t="n"/>
      <c r="F852" s="15" t="n"/>
      <c r="G852" s="15" t="n"/>
      <c r="H852" s="15" t="n"/>
      <c r="I852" s="15" t="n"/>
    </row>
    <row r="853" ht="15.75" customHeight="1" s="48">
      <c r="A853" s="15" t="n"/>
      <c r="B853" s="15" t="n"/>
      <c r="C853" s="15" t="n"/>
      <c r="D853" s="15" t="n"/>
      <c r="E853" s="15" t="n"/>
      <c r="F853" s="15" t="n"/>
      <c r="G853" s="15" t="n"/>
      <c r="H853" s="15" t="n"/>
      <c r="I853" s="15" t="n"/>
    </row>
    <row r="854" ht="15.75" customHeight="1" s="48">
      <c r="A854" s="15" t="n"/>
      <c r="B854" s="15" t="n"/>
      <c r="C854" s="15" t="n"/>
      <c r="D854" s="15" t="n"/>
      <c r="E854" s="15" t="n"/>
      <c r="F854" s="15" t="n"/>
      <c r="G854" s="15" t="n"/>
      <c r="H854" s="15" t="n"/>
      <c r="I854" s="15" t="n"/>
    </row>
    <row r="855" ht="15.75" customHeight="1" s="48">
      <c r="A855" s="15" t="n"/>
      <c r="B855" s="15" t="n"/>
      <c r="C855" s="15" t="n"/>
      <c r="D855" s="15" t="n"/>
      <c r="E855" s="15" t="n"/>
      <c r="F855" s="15" t="n"/>
      <c r="G855" s="15" t="n"/>
      <c r="H855" s="15" t="n"/>
      <c r="I855" s="15" t="n"/>
    </row>
    <row r="856" ht="15.75" customHeight="1" s="48">
      <c r="A856" s="15" t="n"/>
      <c r="B856" s="15" t="n"/>
      <c r="C856" s="15" t="n"/>
      <c r="D856" s="15" t="n"/>
      <c r="E856" s="15" t="n"/>
      <c r="F856" s="15" t="n"/>
      <c r="G856" s="15" t="n"/>
      <c r="H856" s="15" t="n"/>
      <c r="I856" s="15" t="n"/>
    </row>
    <row r="857" ht="15.75" customHeight="1" s="48">
      <c r="A857" s="15" t="n"/>
      <c r="B857" s="15" t="n"/>
      <c r="C857" s="15" t="n"/>
      <c r="D857" s="15" t="n"/>
      <c r="E857" s="15" t="n"/>
      <c r="F857" s="15" t="n"/>
      <c r="G857" s="15" t="n"/>
      <c r="H857" s="15" t="n"/>
      <c r="I857" s="15" t="n"/>
    </row>
    <row r="858" ht="15.75" customHeight="1" s="48">
      <c r="A858" s="15" t="n"/>
      <c r="B858" s="15" t="n"/>
      <c r="C858" s="15" t="n"/>
      <c r="D858" s="15" t="n"/>
      <c r="E858" s="15" t="n"/>
      <c r="F858" s="15" t="n"/>
      <c r="G858" s="15" t="n"/>
      <c r="H858" s="15" t="n"/>
      <c r="I858" s="15" t="n"/>
    </row>
    <row r="859" ht="15.75" customHeight="1" s="48">
      <c r="A859" s="15" t="n"/>
      <c r="B859" s="15" t="n"/>
      <c r="C859" s="15" t="n"/>
      <c r="D859" s="15" t="n"/>
      <c r="E859" s="15" t="n"/>
      <c r="F859" s="15" t="n"/>
      <c r="G859" s="15" t="n"/>
      <c r="H859" s="15" t="n"/>
      <c r="I859" s="15" t="n"/>
    </row>
    <row r="860" ht="15.75" customHeight="1" s="48">
      <c r="A860" s="15" t="n"/>
      <c r="B860" s="15" t="n"/>
      <c r="C860" s="15" t="n"/>
      <c r="D860" s="15" t="n"/>
      <c r="E860" s="15" t="n"/>
      <c r="F860" s="15" t="n"/>
      <c r="G860" s="15" t="n"/>
      <c r="H860" s="15" t="n"/>
      <c r="I860" s="15" t="n"/>
    </row>
    <row r="861" ht="15.75" customHeight="1" s="48">
      <c r="A861" s="15" t="n"/>
      <c r="B861" s="15" t="n"/>
      <c r="C861" s="15" t="n"/>
      <c r="D861" s="15" t="n"/>
      <c r="E861" s="15" t="n"/>
      <c r="F861" s="15" t="n"/>
      <c r="G861" s="15" t="n"/>
      <c r="H861" s="15" t="n"/>
      <c r="I861" s="15" t="n"/>
    </row>
    <row r="862" ht="15.75" customHeight="1" s="48">
      <c r="A862" s="15" t="n"/>
      <c r="B862" s="15" t="n"/>
      <c r="C862" s="15" t="n"/>
      <c r="D862" s="15" t="n"/>
      <c r="E862" s="15" t="n"/>
      <c r="F862" s="15" t="n"/>
      <c r="G862" s="15" t="n"/>
      <c r="H862" s="15" t="n"/>
      <c r="I862" s="15" t="n"/>
    </row>
    <row r="863" ht="15.75" customHeight="1" s="48">
      <c r="A863" s="15" t="n"/>
      <c r="B863" s="15" t="n"/>
      <c r="C863" s="15" t="n"/>
      <c r="D863" s="15" t="n"/>
      <c r="E863" s="15" t="n"/>
      <c r="F863" s="15" t="n"/>
      <c r="G863" s="15" t="n"/>
      <c r="H863" s="15" t="n"/>
      <c r="I863" s="15" t="n"/>
    </row>
    <row r="864" ht="15.75" customHeight="1" s="48">
      <c r="A864" s="15" t="n"/>
      <c r="B864" s="15" t="n"/>
      <c r="C864" s="15" t="n"/>
      <c r="D864" s="15" t="n"/>
      <c r="E864" s="15" t="n"/>
      <c r="F864" s="15" t="n"/>
      <c r="G864" s="15" t="n"/>
      <c r="H864" s="15" t="n"/>
      <c r="I864" s="15" t="n"/>
    </row>
    <row r="865" ht="15.75" customHeight="1" s="48">
      <c r="A865" s="15" t="n"/>
      <c r="B865" s="15" t="n"/>
      <c r="C865" s="15" t="n"/>
      <c r="D865" s="15" t="n"/>
      <c r="E865" s="15" t="n"/>
      <c r="F865" s="15" t="n"/>
      <c r="G865" s="15" t="n"/>
      <c r="H865" s="15" t="n"/>
      <c r="I865" s="15" t="n"/>
    </row>
    <row r="866" ht="15.75" customHeight="1" s="48">
      <c r="A866" s="15" t="n"/>
      <c r="B866" s="15" t="n"/>
      <c r="C866" s="15" t="n"/>
      <c r="D866" s="15" t="n"/>
      <c r="E866" s="15" t="n"/>
      <c r="F866" s="15" t="n"/>
      <c r="G866" s="15" t="n"/>
      <c r="H866" s="15" t="n"/>
      <c r="I866" s="15" t="n"/>
    </row>
    <row r="867" ht="15.75" customHeight="1" s="48">
      <c r="A867" s="15" t="n"/>
      <c r="B867" s="15" t="n"/>
      <c r="C867" s="15" t="n"/>
      <c r="D867" s="15" t="n"/>
      <c r="E867" s="15" t="n"/>
      <c r="F867" s="15" t="n"/>
      <c r="G867" s="15" t="n"/>
      <c r="H867" s="15" t="n"/>
      <c r="I867" s="15" t="n"/>
    </row>
    <row r="868" ht="15.75" customHeight="1" s="48">
      <c r="A868" s="15" t="n"/>
      <c r="B868" s="15" t="n"/>
      <c r="C868" s="15" t="n"/>
      <c r="D868" s="15" t="n"/>
      <c r="E868" s="15" t="n"/>
      <c r="F868" s="15" t="n"/>
      <c r="G868" s="15" t="n"/>
      <c r="H868" s="15" t="n"/>
      <c r="I868" s="15" t="n"/>
    </row>
    <row r="869" ht="15.75" customHeight="1" s="48">
      <c r="A869" s="15" t="n"/>
      <c r="B869" s="15" t="n"/>
      <c r="C869" s="15" t="n"/>
      <c r="D869" s="15" t="n"/>
      <c r="E869" s="15" t="n"/>
      <c r="F869" s="15" t="n"/>
      <c r="G869" s="15" t="n"/>
      <c r="H869" s="15" t="n"/>
      <c r="I869" s="15" t="n"/>
    </row>
    <row r="870" ht="15.75" customHeight="1" s="48">
      <c r="A870" s="15" t="n"/>
      <c r="B870" s="15" t="n"/>
      <c r="C870" s="15" t="n"/>
      <c r="D870" s="15" t="n"/>
      <c r="E870" s="15" t="n"/>
      <c r="F870" s="15" t="n"/>
      <c r="G870" s="15" t="n"/>
      <c r="H870" s="15" t="n"/>
      <c r="I870" s="15" t="n"/>
    </row>
    <row r="871" ht="15.75" customHeight="1" s="48">
      <c r="A871" s="15" t="n"/>
      <c r="B871" s="15" t="n"/>
      <c r="C871" s="15" t="n"/>
      <c r="D871" s="15" t="n"/>
      <c r="E871" s="15" t="n"/>
      <c r="F871" s="15" t="n"/>
      <c r="G871" s="15" t="n"/>
      <c r="H871" s="15" t="n"/>
      <c r="I871" s="15" t="n"/>
    </row>
    <row r="872" ht="15.75" customHeight="1" s="48">
      <c r="A872" s="15" t="n"/>
      <c r="B872" s="15" t="n"/>
      <c r="C872" s="15" t="n"/>
      <c r="D872" s="15" t="n"/>
      <c r="E872" s="15" t="n"/>
      <c r="F872" s="15" t="n"/>
      <c r="G872" s="15" t="n"/>
      <c r="H872" s="15" t="n"/>
      <c r="I872" s="15" t="n"/>
    </row>
    <row r="873" ht="15.75" customHeight="1" s="48">
      <c r="A873" s="15" t="n"/>
      <c r="B873" s="15" t="n"/>
      <c r="C873" s="15" t="n"/>
      <c r="D873" s="15" t="n"/>
      <c r="E873" s="15" t="n"/>
      <c r="F873" s="15" t="n"/>
      <c r="G873" s="15" t="n"/>
      <c r="H873" s="15" t="n"/>
      <c r="I873" s="15" t="n"/>
    </row>
    <row r="874" ht="15.75" customHeight="1" s="48">
      <c r="A874" s="15" t="n"/>
      <c r="B874" s="15" t="n"/>
      <c r="C874" s="15" t="n"/>
      <c r="D874" s="15" t="n"/>
      <c r="E874" s="15" t="n"/>
      <c r="F874" s="15" t="n"/>
      <c r="G874" s="15" t="n"/>
      <c r="H874" s="15" t="n"/>
      <c r="I874" s="15" t="n"/>
    </row>
    <row r="875" ht="15.75" customHeight="1" s="48">
      <c r="A875" s="15" t="n"/>
      <c r="B875" s="15" t="n"/>
      <c r="C875" s="15" t="n"/>
      <c r="D875" s="15" t="n"/>
      <c r="E875" s="15" t="n"/>
      <c r="F875" s="15" t="n"/>
      <c r="G875" s="15" t="n"/>
      <c r="H875" s="15" t="n"/>
      <c r="I875" s="15" t="n"/>
    </row>
    <row r="876" ht="15.75" customHeight="1" s="48">
      <c r="A876" s="15" t="n"/>
      <c r="B876" s="15" t="n"/>
      <c r="C876" s="15" t="n"/>
      <c r="D876" s="15" t="n"/>
      <c r="E876" s="15" t="n"/>
      <c r="F876" s="15" t="n"/>
      <c r="G876" s="15" t="n"/>
      <c r="H876" s="15" t="n"/>
      <c r="I876" s="15" t="n"/>
    </row>
    <row r="877" ht="15.75" customHeight="1" s="48">
      <c r="A877" s="15" t="n"/>
      <c r="B877" s="15" t="n"/>
      <c r="C877" s="15" t="n"/>
      <c r="D877" s="15" t="n"/>
      <c r="E877" s="15" t="n"/>
      <c r="F877" s="15" t="n"/>
      <c r="G877" s="15" t="n"/>
      <c r="H877" s="15" t="n"/>
      <c r="I877" s="15" t="n"/>
    </row>
    <row r="878" ht="15.75" customHeight="1" s="48">
      <c r="A878" s="15" t="n"/>
      <c r="B878" s="15" t="n"/>
      <c r="C878" s="15" t="n"/>
      <c r="D878" s="15" t="n"/>
      <c r="E878" s="15" t="n"/>
      <c r="F878" s="15" t="n"/>
      <c r="G878" s="15" t="n"/>
      <c r="H878" s="15" t="n"/>
      <c r="I878" s="15" t="n"/>
    </row>
    <row r="879" ht="15.75" customHeight="1" s="48">
      <c r="A879" s="15" t="n"/>
      <c r="B879" s="15" t="n"/>
      <c r="C879" s="15" t="n"/>
      <c r="D879" s="15" t="n"/>
      <c r="E879" s="15" t="n"/>
      <c r="F879" s="15" t="n"/>
      <c r="G879" s="15" t="n"/>
      <c r="H879" s="15" t="n"/>
      <c r="I879" s="15" t="n"/>
    </row>
    <row r="880" ht="15.75" customHeight="1" s="48">
      <c r="A880" s="15" t="n"/>
      <c r="B880" s="15" t="n"/>
      <c r="C880" s="15" t="n"/>
      <c r="D880" s="15" t="n"/>
      <c r="E880" s="15" t="n"/>
      <c r="F880" s="15" t="n"/>
      <c r="G880" s="15" t="n"/>
      <c r="H880" s="15" t="n"/>
      <c r="I880" s="15" t="n"/>
    </row>
    <row r="881" ht="15.75" customHeight="1" s="48">
      <c r="A881" s="15" t="n"/>
      <c r="B881" s="15" t="n"/>
      <c r="C881" s="15" t="n"/>
      <c r="D881" s="15" t="n"/>
      <c r="E881" s="15" t="n"/>
      <c r="F881" s="15" t="n"/>
      <c r="G881" s="15" t="n"/>
      <c r="H881" s="15" t="n"/>
      <c r="I881" s="15" t="n"/>
    </row>
    <row r="882" ht="15.75" customHeight="1" s="48">
      <c r="A882" s="15" t="n"/>
      <c r="B882" s="15" t="n"/>
      <c r="C882" s="15" t="n"/>
      <c r="D882" s="15" t="n"/>
      <c r="E882" s="15" t="n"/>
      <c r="F882" s="15" t="n"/>
      <c r="G882" s="15" t="n"/>
      <c r="H882" s="15" t="n"/>
      <c r="I882" s="15" t="n"/>
    </row>
    <row r="883" ht="15.75" customHeight="1" s="48">
      <c r="A883" s="15" t="n"/>
      <c r="B883" s="15" t="n"/>
      <c r="C883" s="15" t="n"/>
      <c r="D883" s="15" t="n"/>
      <c r="E883" s="15" t="n"/>
      <c r="F883" s="15" t="n"/>
      <c r="G883" s="15" t="n"/>
      <c r="H883" s="15" t="n"/>
      <c r="I883" s="15" t="n"/>
    </row>
    <row r="884" ht="15.75" customHeight="1" s="48">
      <c r="A884" s="15" t="n"/>
      <c r="B884" s="15" t="n"/>
      <c r="C884" s="15" t="n"/>
      <c r="D884" s="15" t="n"/>
      <c r="E884" s="15" t="n"/>
      <c r="F884" s="15" t="n"/>
      <c r="G884" s="15" t="n"/>
      <c r="H884" s="15" t="n"/>
      <c r="I884" s="15" t="n"/>
    </row>
    <row r="885" ht="15.75" customHeight="1" s="48">
      <c r="A885" s="15" t="n"/>
      <c r="B885" s="15" t="n"/>
      <c r="C885" s="15" t="n"/>
      <c r="D885" s="15" t="n"/>
      <c r="E885" s="15" t="n"/>
      <c r="F885" s="15" t="n"/>
      <c r="G885" s="15" t="n"/>
      <c r="H885" s="15" t="n"/>
      <c r="I885" s="15" t="n"/>
    </row>
    <row r="886" ht="15.75" customHeight="1" s="48">
      <c r="A886" s="15" t="n"/>
      <c r="B886" s="15" t="n"/>
      <c r="C886" s="15" t="n"/>
      <c r="D886" s="15" t="n"/>
      <c r="E886" s="15" t="n"/>
      <c r="F886" s="15" t="n"/>
      <c r="G886" s="15" t="n"/>
      <c r="H886" s="15" t="n"/>
      <c r="I886" s="15" t="n"/>
    </row>
    <row r="887" ht="15.75" customHeight="1" s="48">
      <c r="A887" s="15" t="n"/>
      <c r="B887" s="15" t="n"/>
      <c r="C887" s="15" t="n"/>
      <c r="D887" s="15" t="n"/>
      <c r="E887" s="15" t="n"/>
      <c r="F887" s="15" t="n"/>
      <c r="G887" s="15" t="n"/>
      <c r="H887" s="15" t="n"/>
      <c r="I887" s="15" t="n"/>
    </row>
    <row r="888" ht="15.75" customHeight="1" s="48">
      <c r="A888" s="15" t="n"/>
      <c r="B888" s="15" t="n"/>
      <c r="C888" s="15" t="n"/>
      <c r="D888" s="15" t="n"/>
      <c r="E888" s="15" t="n"/>
      <c r="F888" s="15" t="n"/>
      <c r="G888" s="15" t="n"/>
      <c r="H888" s="15" t="n"/>
      <c r="I888" s="15" t="n"/>
    </row>
    <row r="889" ht="15.75" customHeight="1" s="48">
      <c r="A889" s="15" t="n"/>
      <c r="B889" s="15" t="n"/>
      <c r="C889" s="15" t="n"/>
      <c r="D889" s="15" t="n"/>
      <c r="E889" s="15" t="n"/>
      <c r="F889" s="15" t="n"/>
      <c r="G889" s="15" t="n"/>
      <c r="H889" s="15" t="n"/>
      <c r="I889" s="15" t="n"/>
    </row>
    <row r="890" ht="15.75" customHeight="1" s="48">
      <c r="A890" s="15" t="n"/>
      <c r="B890" s="15" t="n"/>
      <c r="C890" s="15" t="n"/>
      <c r="D890" s="15" t="n"/>
      <c r="E890" s="15" t="n"/>
      <c r="F890" s="15" t="n"/>
      <c r="G890" s="15" t="n"/>
      <c r="H890" s="15" t="n"/>
      <c r="I890" s="15" t="n"/>
    </row>
    <row r="891" ht="15.75" customHeight="1" s="48">
      <c r="A891" s="15" t="n"/>
      <c r="B891" s="15" t="n"/>
      <c r="C891" s="15" t="n"/>
      <c r="D891" s="15" t="n"/>
      <c r="E891" s="15" t="n"/>
      <c r="F891" s="15" t="n"/>
      <c r="G891" s="15" t="n"/>
      <c r="H891" s="15" t="n"/>
      <c r="I891" s="15" t="n"/>
    </row>
    <row r="892" ht="15.75" customHeight="1" s="48">
      <c r="A892" s="15" t="n"/>
      <c r="B892" s="15" t="n"/>
      <c r="C892" s="15" t="n"/>
      <c r="D892" s="15" t="n"/>
      <c r="E892" s="15" t="n"/>
      <c r="F892" s="15" t="n"/>
      <c r="G892" s="15" t="n"/>
      <c r="H892" s="15" t="n"/>
      <c r="I892" s="15" t="n"/>
    </row>
    <row r="893" ht="15.75" customHeight="1" s="48">
      <c r="A893" s="15" t="n"/>
      <c r="B893" s="15" t="n"/>
      <c r="C893" s="15" t="n"/>
      <c r="D893" s="15" t="n"/>
      <c r="E893" s="15" t="n"/>
      <c r="F893" s="15" t="n"/>
      <c r="G893" s="15" t="n"/>
      <c r="H893" s="15" t="n"/>
      <c r="I893" s="15" t="n"/>
    </row>
    <row r="894" ht="15.75" customHeight="1" s="48">
      <c r="A894" s="15" t="n"/>
      <c r="B894" s="15" t="n"/>
      <c r="C894" s="15" t="n"/>
      <c r="D894" s="15" t="n"/>
      <c r="E894" s="15" t="n"/>
      <c r="F894" s="15" t="n"/>
      <c r="G894" s="15" t="n"/>
      <c r="H894" s="15" t="n"/>
      <c r="I894" s="15" t="n"/>
    </row>
    <row r="895" ht="15.75" customHeight="1" s="48">
      <c r="A895" s="15" t="n"/>
      <c r="B895" s="15" t="n"/>
      <c r="C895" s="15" t="n"/>
      <c r="D895" s="15" t="n"/>
      <c r="E895" s="15" t="n"/>
      <c r="F895" s="15" t="n"/>
      <c r="G895" s="15" t="n"/>
      <c r="H895" s="15" t="n"/>
      <c r="I895" s="15" t="n"/>
    </row>
    <row r="896" ht="15.75" customHeight="1" s="48">
      <c r="A896" s="15" t="n"/>
      <c r="B896" s="15" t="n"/>
      <c r="C896" s="15" t="n"/>
      <c r="D896" s="15" t="n"/>
      <c r="E896" s="15" t="n"/>
      <c r="F896" s="15" t="n"/>
      <c r="G896" s="15" t="n"/>
      <c r="H896" s="15" t="n"/>
      <c r="I896" s="15" t="n"/>
    </row>
    <row r="897" ht="15.75" customHeight="1" s="48">
      <c r="A897" s="15" t="n"/>
      <c r="B897" s="15" t="n"/>
      <c r="C897" s="15" t="n"/>
      <c r="D897" s="15" t="n"/>
      <c r="E897" s="15" t="n"/>
      <c r="F897" s="15" t="n"/>
      <c r="G897" s="15" t="n"/>
      <c r="H897" s="15" t="n"/>
      <c r="I897" s="15" t="n"/>
    </row>
    <row r="898" ht="15.75" customHeight="1" s="48">
      <c r="A898" s="15" t="n"/>
      <c r="B898" s="15" t="n"/>
      <c r="C898" s="15" t="n"/>
      <c r="D898" s="15" t="n"/>
      <c r="E898" s="15" t="n"/>
      <c r="F898" s="15" t="n"/>
      <c r="G898" s="15" t="n"/>
      <c r="H898" s="15" t="n"/>
      <c r="I898" s="15" t="n"/>
    </row>
    <row r="899" ht="15.75" customHeight="1" s="48">
      <c r="A899" s="15" t="n"/>
      <c r="B899" s="15" t="n"/>
      <c r="C899" s="15" t="n"/>
      <c r="D899" s="15" t="n"/>
      <c r="E899" s="15" t="n"/>
      <c r="F899" s="15" t="n"/>
      <c r="G899" s="15" t="n"/>
      <c r="H899" s="15" t="n"/>
      <c r="I899" s="15" t="n"/>
    </row>
    <row r="900" ht="15.75" customHeight="1" s="48">
      <c r="A900" s="15" t="n"/>
      <c r="B900" s="15" t="n"/>
      <c r="C900" s="15" t="n"/>
      <c r="D900" s="15" t="n"/>
      <c r="E900" s="15" t="n"/>
      <c r="F900" s="15" t="n"/>
      <c r="G900" s="15" t="n"/>
      <c r="H900" s="15" t="n"/>
      <c r="I900" s="15" t="n"/>
    </row>
    <row r="901" ht="15.75" customHeight="1" s="48">
      <c r="A901" s="15" t="n"/>
      <c r="B901" s="15" t="n"/>
      <c r="C901" s="15" t="n"/>
      <c r="D901" s="15" t="n"/>
      <c r="E901" s="15" t="n"/>
      <c r="F901" s="15" t="n"/>
      <c r="G901" s="15" t="n"/>
      <c r="H901" s="15" t="n"/>
      <c r="I901" s="15" t="n"/>
    </row>
    <row r="902" ht="15.75" customHeight="1" s="48">
      <c r="A902" s="15" t="n"/>
      <c r="B902" s="15" t="n"/>
      <c r="C902" s="15" t="n"/>
      <c r="D902" s="15" t="n"/>
      <c r="E902" s="15" t="n"/>
      <c r="F902" s="15" t="n"/>
      <c r="G902" s="15" t="n"/>
      <c r="H902" s="15" t="n"/>
      <c r="I902" s="15" t="n"/>
    </row>
    <row r="903" ht="15.75" customHeight="1" s="48">
      <c r="A903" s="15" t="n"/>
      <c r="B903" s="15" t="n"/>
      <c r="C903" s="15" t="n"/>
      <c r="D903" s="15" t="n"/>
      <c r="E903" s="15" t="n"/>
      <c r="F903" s="15" t="n"/>
      <c r="G903" s="15" t="n"/>
      <c r="H903" s="15" t="n"/>
      <c r="I903" s="15" t="n"/>
    </row>
    <row r="904" ht="15.75" customHeight="1" s="48">
      <c r="A904" s="15" t="n"/>
      <c r="B904" s="15" t="n"/>
      <c r="C904" s="15" t="n"/>
      <c r="D904" s="15" t="n"/>
      <c r="E904" s="15" t="n"/>
      <c r="F904" s="15" t="n"/>
      <c r="G904" s="15" t="n"/>
      <c r="H904" s="15" t="n"/>
      <c r="I904" s="15" t="n"/>
    </row>
    <row r="905" ht="15.75" customHeight="1" s="48">
      <c r="A905" s="15" t="n"/>
      <c r="B905" s="15" t="n"/>
      <c r="C905" s="15" t="n"/>
      <c r="D905" s="15" t="n"/>
      <c r="E905" s="15" t="n"/>
      <c r="F905" s="15" t="n"/>
      <c r="G905" s="15" t="n"/>
      <c r="H905" s="15" t="n"/>
      <c r="I905" s="15" t="n"/>
    </row>
    <row r="906" ht="15.75" customHeight="1" s="48">
      <c r="A906" s="15" t="n"/>
      <c r="B906" s="15" t="n"/>
      <c r="C906" s="15" t="n"/>
      <c r="D906" s="15" t="n"/>
      <c r="E906" s="15" t="n"/>
      <c r="F906" s="15" t="n"/>
      <c r="G906" s="15" t="n"/>
      <c r="H906" s="15" t="n"/>
      <c r="I906" s="15" t="n"/>
    </row>
    <row r="907" ht="15.75" customHeight="1" s="48">
      <c r="A907" s="15" t="n"/>
      <c r="B907" s="15" t="n"/>
      <c r="C907" s="15" t="n"/>
      <c r="D907" s="15" t="n"/>
      <c r="E907" s="15" t="n"/>
      <c r="F907" s="15" t="n"/>
      <c r="G907" s="15" t="n"/>
      <c r="H907" s="15" t="n"/>
      <c r="I907" s="15" t="n"/>
    </row>
    <row r="908" ht="15.75" customHeight="1" s="48">
      <c r="A908" s="15" t="n"/>
      <c r="B908" s="15" t="n"/>
      <c r="C908" s="15" t="n"/>
      <c r="D908" s="15" t="n"/>
      <c r="E908" s="15" t="n"/>
      <c r="F908" s="15" t="n"/>
      <c r="G908" s="15" t="n"/>
      <c r="H908" s="15" t="n"/>
      <c r="I908" s="15" t="n"/>
    </row>
    <row r="909" ht="15.75" customHeight="1" s="48">
      <c r="A909" s="15" t="n"/>
      <c r="B909" s="15" t="n"/>
      <c r="C909" s="15" t="n"/>
      <c r="D909" s="15" t="n"/>
      <c r="E909" s="15" t="n"/>
      <c r="F909" s="15" t="n"/>
      <c r="G909" s="15" t="n"/>
      <c r="H909" s="15" t="n"/>
      <c r="I909" s="15" t="n"/>
    </row>
    <row r="910" ht="15.75" customHeight="1" s="48">
      <c r="A910" s="15" t="n"/>
      <c r="B910" s="15" t="n"/>
      <c r="C910" s="15" t="n"/>
      <c r="D910" s="15" t="n"/>
      <c r="E910" s="15" t="n"/>
      <c r="F910" s="15" t="n"/>
      <c r="G910" s="15" t="n"/>
      <c r="H910" s="15" t="n"/>
      <c r="I910" s="15" t="n"/>
    </row>
    <row r="911" ht="15.75" customHeight="1" s="48">
      <c r="A911" s="15" t="n"/>
      <c r="B911" s="15" t="n"/>
      <c r="C911" s="15" t="n"/>
      <c r="D911" s="15" t="n"/>
      <c r="E911" s="15" t="n"/>
      <c r="F911" s="15" t="n"/>
      <c r="G911" s="15" t="n"/>
      <c r="H911" s="15" t="n"/>
      <c r="I911" s="15" t="n"/>
    </row>
    <row r="912" ht="15.75" customHeight="1" s="48">
      <c r="A912" s="15" t="n"/>
      <c r="B912" s="15" t="n"/>
      <c r="C912" s="15" t="n"/>
      <c r="D912" s="15" t="n"/>
      <c r="E912" s="15" t="n"/>
      <c r="F912" s="15" t="n"/>
      <c r="G912" s="15" t="n"/>
      <c r="H912" s="15" t="n"/>
      <c r="I912" s="15" t="n"/>
    </row>
    <row r="913" ht="15.75" customHeight="1" s="48">
      <c r="A913" s="15" t="n"/>
      <c r="B913" s="15" t="n"/>
      <c r="C913" s="15" t="n"/>
      <c r="D913" s="15" t="n"/>
      <c r="E913" s="15" t="n"/>
      <c r="F913" s="15" t="n"/>
      <c r="G913" s="15" t="n"/>
      <c r="H913" s="15" t="n"/>
      <c r="I913" s="15" t="n"/>
    </row>
    <row r="914" ht="15.75" customHeight="1" s="48">
      <c r="A914" s="15" t="n"/>
      <c r="B914" s="15" t="n"/>
      <c r="C914" s="15" t="n"/>
      <c r="D914" s="15" t="n"/>
      <c r="E914" s="15" t="n"/>
      <c r="F914" s="15" t="n"/>
      <c r="G914" s="15" t="n"/>
      <c r="H914" s="15" t="n"/>
      <c r="I914" s="15" t="n"/>
    </row>
    <row r="915" ht="15.75" customHeight="1" s="48">
      <c r="A915" s="15" t="n"/>
      <c r="B915" s="15" t="n"/>
      <c r="C915" s="15" t="n"/>
      <c r="D915" s="15" t="n"/>
      <c r="E915" s="15" t="n"/>
      <c r="F915" s="15" t="n"/>
      <c r="G915" s="15" t="n"/>
      <c r="H915" s="15" t="n"/>
      <c r="I915" s="15" t="n"/>
    </row>
    <row r="916" ht="15.75" customHeight="1" s="48">
      <c r="A916" s="15" t="n"/>
      <c r="B916" s="15" t="n"/>
      <c r="C916" s="15" t="n"/>
      <c r="D916" s="15" t="n"/>
      <c r="E916" s="15" t="n"/>
      <c r="F916" s="15" t="n"/>
      <c r="G916" s="15" t="n"/>
      <c r="H916" s="15" t="n"/>
      <c r="I916" s="15" t="n"/>
    </row>
    <row r="917" ht="15.75" customHeight="1" s="48">
      <c r="A917" s="15" t="n"/>
      <c r="B917" s="15" t="n"/>
      <c r="C917" s="15" t="n"/>
      <c r="D917" s="15" t="n"/>
      <c r="E917" s="15" t="n"/>
      <c r="F917" s="15" t="n"/>
      <c r="G917" s="15" t="n"/>
      <c r="H917" s="15" t="n"/>
      <c r="I917" s="15" t="n"/>
    </row>
    <row r="918" ht="15.75" customHeight="1" s="48">
      <c r="A918" s="15" t="n"/>
      <c r="B918" s="15" t="n"/>
      <c r="C918" s="15" t="n"/>
      <c r="D918" s="15" t="n"/>
      <c r="E918" s="15" t="n"/>
      <c r="F918" s="15" t="n"/>
      <c r="G918" s="15" t="n"/>
      <c r="H918" s="15" t="n"/>
      <c r="I918" s="15" t="n"/>
    </row>
    <row r="919" ht="15.75" customHeight="1" s="48">
      <c r="A919" s="15" t="n"/>
      <c r="B919" s="15" t="n"/>
      <c r="C919" s="15" t="n"/>
      <c r="D919" s="15" t="n"/>
      <c r="E919" s="15" t="n"/>
      <c r="F919" s="15" t="n"/>
      <c r="G919" s="15" t="n"/>
      <c r="H919" s="15" t="n"/>
      <c r="I919" s="15" t="n"/>
    </row>
    <row r="920" ht="15.75" customHeight="1" s="48">
      <c r="A920" s="15" t="n"/>
      <c r="B920" s="15" t="n"/>
      <c r="C920" s="15" t="n"/>
      <c r="D920" s="15" t="n"/>
      <c r="E920" s="15" t="n"/>
      <c r="F920" s="15" t="n"/>
      <c r="G920" s="15" t="n"/>
      <c r="H920" s="15" t="n"/>
      <c r="I920" s="15" t="n"/>
    </row>
    <row r="921" ht="15.75" customHeight="1" s="48">
      <c r="A921" s="15" t="n"/>
      <c r="B921" s="15" t="n"/>
      <c r="C921" s="15" t="n"/>
      <c r="D921" s="15" t="n"/>
      <c r="E921" s="15" t="n"/>
      <c r="F921" s="15" t="n"/>
      <c r="G921" s="15" t="n"/>
      <c r="H921" s="15" t="n"/>
      <c r="I921" s="15" t="n"/>
    </row>
    <row r="922" ht="15.75" customHeight="1" s="48">
      <c r="A922" s="15" t="n"/>
      <c r="B922" s="15" t="n"/>
      <c r="C922" s="15" t="n"/>
      <c r="D922" s="15" t="n"/>
      <c r="E922" s="15" t="n"/>
      <c r="F922" s="15" t="n"/>
      <c r="G922" s="15" t="n"/>
      <c r="H922" s="15" t="n"/>
      <c r="I922" s="15" t="n"/>
    </row>
    <row r="923" ht="15.75" customHeight="1" s="48">
      <c r="A923" s="15" t="n"/>
      <c r="B923" s="15" t="n"/>
      <c r="C923" s="15" t="n"/>
      <c r="D923" s="15" t="n"/>
      <c r="E923" s="15" t="n"/>
      <c r="F923" s="15" t="n"/>
      <c r="G923" s="15" t="n"/>
      <c r="H923" s="15" t="n"/>
      <c r="I923" s="15" t="n"/>
    </row>
    <row r="924" ht="15.75" customHeight="1" s="48">
      <c r="A924" s="15" t="n"/>
      <c r="B924" s="15" t="n"/>
      <c r="C924" s="15" t="n"/>
      <c r="D924" s="15" t="n"/>
      <c r="E924" s="15" t="n"/>
      <c r="F924" s="15" t="n"/>
      <c r="G924" s="15" t="n"/>
      <c r="H924" s="15" t="n"/>
      <c r="I924" s="15" t="n"/>
    </row>
    <row r="925" ht="15.75" customHeight="1" s="48">
      <c r="A925" s="15" t="n"/>
      <c r="B925" s="15" t="n"/>
      <c r="C925" s="15" t="n"/>
      <c r="D925" s="15" t="n"/>
      <c r="E925" s="15" t="n"/>
      <c r="F925" s="15" t="n"/>
      <c r="G925" s="15" t="n"/>
      <c r="H925" s="15" t="n"/>
      <c r="I925" s="15" t="n"/>
    </row>
    <row r="926" ht="15.75" customHeight="1" s="48">
      <c r="A926" s="15" t="n"/>
      <c r="B926" s="15" t="n"/>
      <c r="C926" s="15" t="n"/>
      <c r="D926" s="15" t="n"/>
      <c r="E926" s="15" t="n"/>
      <c r="F926" s="15" t="n"/>
      <c r="G926" s="15" t="n"/>
      <c r="H926" s="15" t="n"/>
      <c r="I926" s="15" t="n"/>
    </row>
    <row r="927" ht="15.75" customHeight="1" s="48">
      <c r="A927" s="15" t="n"/>
      <c r="B927" s="15" t="n"/>
      <c r="C927" s="15" t="n"/>
      <c r="D927" s="15" t="n"/>
      <c r="E927" s="15" t="n"/>
      <c r="F927" s="15" t="n"/>
      <c r="G927" s="15" t="n"/>
      <c r="H927" s="15" t="n"/>
      <c r="I927" s="15" t="n"/>
    </row>
    <row r="928" ht="15.75" customHeight="1" s="48">
      <c r="A928" s="15" t="n"/>
      <c r="B928" s="15" t="n"/>
      <c r="C928" s="15" t="n"/>
      <c r="D928" s="15" t="n"/>
      <c r="E928" s="15" t="n"/>
      <c r="F928" s="15" t="n"/>
      <c r="G928" s="15" t="n"/>
      <c r="H928" s="15" t="n"/>
      <c r="I928" s="15" t="n"/>
    </row>
    <row r="929" ht="15.75" customHeight="1" s="48">
      <c r="A929" s="15" t="n"/>
      <c r="B929" s="15" t="n"/>
      <c r="C929" s="15" t="n"/>
      <c r="D929" s="15" t="n"/>
      <c r="E929" s="15" t="n"/>
      <c r="F929" s="15" t="n"/>
      <c r="G929" s="15" t="n"/>
      <c r="H929" s="15" t="n"/>
      <c r="I929" s="15" t="n"/>
    </row>
    <row r="930" ht="15.75" customHeight="1" s="48">
      <c r="A930" s="15" t="n"/>
      <c r="B930" s="15" t="n"/>
      <c r="C930" s="15" t="n"/>
      <c r="D930" s="15" t="n"/>
      <c r="E930" s="15" t="n"/>
      <c r="F930" s="15" t="n"/>
      <c r="G930" s="15" t="n"/>
      <c r="H930" s="15" t="n"/>
      <c r="I930" s="15" t="n"/>
    </row>
    <row r="931" ht="15.75" customHeight="1" s="48">
      <c r="A931" s="15" t="n"/>
      <c r="B931" s="15" t="n"/>
      <c r="C931" s="15" t="n"/>
      <c r="D931" s="15" t="n"/>
      <c r="E931" s="15" t="n"/>
      <c r="F931" s="15" t="n"/>
      <c r="G931" s="15" t="n"/>
      <c r="H931" s="15" t="n"/>
      <c r="I931" s="15" t="n"/>
    </row>
    <row r="932" ht="15.75" customHeight="1" s="48">
      <c r="A932" s="15" t="n"/>
      <c r="B932" s="15" t="n"/>
      <c r="C932" s="15" t="n"/>
      <c r="D932" s="15" t="n"/>
      <c r="E932" s="15" t="n"/>
      <c r="F932" s="15" t="n"/>
      <c r="G932" s="15" t="n"/>
      <c r="H932" s="15" t="n"/>
      <c r="I932" s="15" t="n"/>
    </row>
    <row r="933" ht="15.75" customHeight="1" s="48">
      <c r="A933" s="15" t="n"/>
      <c r="B933" s="15" t="n"/>
      <c r="C933" s="15" t="n"/>
      <c r="D933" s="15" t="n"/>
      <c r="E933" s="15" t="n"/>
      <c r="F933" s="15" t="n"/>
      <c r="G933" s="15" t="n"/>
      <c r="H933" s="15" t="n"/>
      <c r="I933" s="15" t="n"/>
    </row>
    <row r="934" ht="15.75" customHeight="1" s="48">
      <c r="A934" s="15" t="n"/>
      <c r="B934" s="15" t="n"/>
      <c r="C934" s="15" t="n"/>
      <c r="D934" s="15" t="n"/>
      <c r="E934" s="15" t="n"/>
      <c r="F934" s="15" t="n"/>
      <c r="G934" s="15" t="n"/>
      <c r="H934" s="15" t="n"/>
      <c r="I934" s="15" t="n"/>
    </row>
    <row r="935" ht="15.75" customHeight="1" s="48">
      <c r="A935" s="15" t="n"/>
      <c r="B935" s="15" t="n"/>
      <c r="C935" s="15" t="n"/>
      <c r="D935" s="15" t="n"/>
      <c r="E935" s="15" t="n"/>
      <c r="F935" s="15" t="n"/>
      <c r="G935" s="15" t="n"/>
      <c r="H935" s="15" t="n"/>
      <c r="I935" s="15" t="n"/>
    </row>
    <row r="936" ht="15.75" customHeight="1" s="48">
      <c r="A936" s="15" t="n"/>
      <c r="B936" s="15" t="n"/>
      <c r="C936" s="15" t="n"/>
      <c r="D936" s="15" t="n"/>
      <c r="E936" s="15" t="n"/>
      <c r="F936" s="15" t="n"/>
      <c r="G936" s="15" t="n"/>
      <c r="H936" s="15" t="n"/>
      <c r="I936" s="15" t="n"/>
    </row>
    <row r="937" ht="15.75" customHeight="1" s="48">
      <c r="A937" s="15" t="n"/>
      <c r="B937" s="15" t="n"/>
      <c r="C937" s="15" t="n"/>
      <c r="D937" s="15" t="n"/>
      <c r="E937" s="15" t="n"/>
      <c r="F937" s="15" t="n"/>
      <c r="G937" s="15" t="n"/>
      <c r="H937" s="15" t="n"/>
      <c r="I937" s="15" t="n"/>
    </row>
    <row r="938" ht="15.75" customHeight="1" s="48">
      <c r="A938" s="15" t="n"/>
      <c r="B938" s="15" t="n"/>
      <c r="C938" s="15" t="n"/>
      <c r="D938" s="15" t="n"/>
      <c r="E938" s="15" t="n"/>
      <c r="F938" s="15" t="n"/>
      <c r="G938" s="15" t="n"/>
      <c r="H938" s="15" t="n"/>
      <c r="I938" s="15" t="n"/>
    </row>
    <row r="939" ht="15.75" customHeight="1" s="48">
      <c r="A939" s="15" t="n"/>
      <c r="B939" s="15" t="n"/>
      <c r="C939" s="15" t="n"/>
      <c r="D939" s="15" t="n"/>
      <c r="E939" s="15" t="n"/>
      <c r="F939" s="15" t="n"/>
      <c r="G939" s="15" t="n"/>
      <c r="H939" s="15" t="n"/>
      <c r="I939" s="15" t="n"/>
    </row>
    <row r="940" ht="15.75" customHeight="1" s="48">
      <c r="A940" s="15" t="n"/>
      <c r="B940" s="15" t="n"/>
      <c r="C940" s="15" t="n"/>
      <c r="D940" s="15" t="n"/>
      <c r="E940" s="15" t="n"/>
      <c r="F940" s="15" t="n"/>
      <c r="G940" s="15" t="n"/>
      <c r="H940" s="15" t="n"/>
      <c r="I940" s="15" t="n"/>
    </row>
    <row r="941" ht="15.75" customHeight="1" s="48">
      <c r="A941" s="15" t="n"/>
      <c r="B941" s="15" t="n"/>
      <c r="C941" s="15" t="n"/>
      <c r="D941" s="15" t="n"/>
      <c r="E941" s="15" t="n"/>
      <c r="F941" s="15" t="n"/>
      <c r="G941" s="15" t="n"/>
      <c r="H941" s="15" t="n"/>
      <c r="I941" s="15" t="n"/>
    </row>
    <row r="942" ht="15.75" customHeight="1" s="48">
      <c r="A942" s="15" t="n"/>
      <c r="B942" s="15" t="n"/>
      <c r="C942" s="15" t="n"/>
      <c r="D942" s="15" t="n"/>
      <c r="E942" s="15" t="n"/>
      <c r="F942" s="15" t="n"/>
      <c r="G942" s="15" t="n"/>
      <c r="H942" s="15" t="n"/>
      <c r="I942" s="15" t="n"/>
    </row>
    <row r="943" ht="15.75" customHeight="1" s="48">
      <c r="A943" s="15" t="n"/>
      <c r="B943" s="15" t="n"/>
      <c r="C943" s="15" t="n"/>
      <c r="D943" s="15" t="n"/>
      <c r="E943" s="15" t="n"/>
      <c r="F943" s="15" t="n"/>
      <c r="G943" s="15" t="n"/>
      <c r="H943" s="15" t="n"/>
      <c r="I943" s="15" t="n"/>
    </row>
    <row r="944" ht="15.75" customHeight="1" s="48">
      <c r="A944" s="15" t="n"/>
      <c r="B944" s="15" t="n"/>
      <c r="C944" s="15" t="n"/>
      <c r="D944" s="15" t="n"/>
      <c r="E944" s="15" t="n"/>
      <c r="F944" s="15" t="n"/>
      <c r="G944" s="15" t="n"/>
      <c r="H944" s="15" t="n"/>
      <c r="I944" s="15" t="n"/>
    </row>
    <row r="945" ht="15.75" customHeight="1" s="48">
      <c r="A945" s="15" t="n"/>
      <c r="B945" s="15" t="n"/>
      <c r="C945" s="15" t="n"/>
      <c r="D945" s="15" t="n"/>
      <c r="E945" s="15" t="n"/>
      <c r="F945" s="15" t="n"/>
      <c r="G945" s="15" t="n"/>
      <c r="H945" s="15" t="n"/>
      <c r="I945" s="15" t="n"/>
    </row>
    <row r="946" ht="15.75" customHeight="1" s="48">
      <c r="A946" s="15" t="n"/>
      <c r="B946" s="15" t="n"/>
      <c r="C946" s="15" t="n"/>
      <c r="D946" s="15" t="n"/>
      <c r="E946" s="15" t="n"/>
      <c r="F946" s="15" t="n"/>
      <c r="G946" s="15" t="n"/>
      <c r="H946" s="15" t="n"/>
      <c r="I946" s="15" t="n"/>
    </row>
    <row r="947" ht="15.75" customHeight="1" s="48">
      <c r="A947" s="15" t="n"/>
      <c r="B947" s="15" t="n"/>
      <c r="C947" s="15" t="n"/>
      <c r="D947" s="15" t="n"/>
      <c r="E947" s="15" t="n"/>
      <c r="F947" s="15" t="n"/>
      <c r="G947" s="15" t="n"/>
      <c r="H947" s="15" t="n"/>
      <c r="I947" s="15" t="n"/>
    </row>
    <row r="948" ht="15.75" customHeight="1" s="48">
      <c r="A948" s="15" t="n"/>
      <c r="B948" s="15" t="n"/>
      <c r="C948" s="15" t="n"/>
      <c r="D948" s="15" t="n"/>
      <c r="E948" s="15" t="n"/>
      <c r="F948" s="15" t="n"/>
      <c r="G948" s="15" t="n"/>
      <c r="H948" s="15" t="n"/>
      <c r="I948" s="15" t="n"/>
    </row>
    <row r="949" ht="15.75" customHeight="1" s="48">
      <c r="A949" s="15" t="n"/>
      <c r="B949" s="15" t="n"/>
      <c r="C949" s="15" t="n"/>
      <c r="D949" s="15" t="n"/>
      <c r="E949" s="15" t="n"/>
      <c r="F949" s="15" t="n"/>
      <c r="G949" s="15" t="n"/>
      <c r="H949" s="15" t="n"/>
      <c r="I949" s="15" t="n"/>
    </row>
    <row r="950" ht="15.75" customHeight="1" s="48">
      <c r="A950" s="15" t="n"/>
      <c r="B950" s="15" t="n"/>
      <c r="C950" s="15" t="n"/>
      <c r="D950" s="15" t="n"/>
      <c r="E950" s="15" t="n"/>
      <c r="F950" s="15" t="n"/>
      <c r="G950" s="15" t="n"/>
      <c r="H950" s="15" t="n"/>
      <c r="I950" s="15" t="n"/>
    </row>
    <row r="951" ht="15.75" customHeight="1" s="48">
      <c r="A951" s="15" t="n"/>
      <c r="B951" s="15" t="n"/>
      <c r="C951" s="15" t="n"/>
      <c r="D951" s="15" t="n"/>
      <c r="E951" s="15" t="n"/>
      <c r="F951" s="15" t="n"/>
      <c r="G951" s="15" t="n"/>
      <c r="H951" s="15" t="n"/>
      <c r="I951" s="15" t="n"/>
    </row>
    <row r="952" ht="15.75" customHeight="1" s="48">
      <c r="A952" s="15" t="n"/>
      <c r="B952" s="15" t="n"/>
      <c r="C952" s="15" t="n"/>
      <c r="D952" s="15" t="n"/>
      <c r="E952" s="15" t="n"/>
      <c r="F952" s="15" t="n"/>
      <c r="G952" s="15" t="n"/>
      <c r="H952" s="15" t="n"/>
      <c r="I952" s="15" t="n"/>
    </row>
    <row r="953" ht="15.75" customHeight="1" s="48">
      <c r="A953" s="15" t="n"/>
      <c r="B953" s="15" t="n"/>
      <c r="C953" s="15" t="n"/>
      <c r="D953" s="15" t="n"/>
      <c r="E953" s="15" t="n"/>
      <c r="F953" s="15" t="n"/>
      <c r="G953" s="15" t="n"/>
      <c r="H953" s="15" t="n"/>
      <c r="I953" s="15" t="n"/>
    </row>
    <row r="954" ht="15.75" customHeight="1" s="48">
      <c r="A954" s="15" t="n"/>
      <c r="B954" s="15" t="n"/>
      <c r="C954" s="15" t="n"/>
      <c r="D954" s="15" t="n"/>
      <c r="E954" s="15" t="n"/>
      <c r="F954" s="15" t="n"/>
      <c r="G954" s="15" t="n"/>
      <c r="H954" s="15" t="n"/>
      <c r="I954" s="15" t="n"/>
    </row>
    <row r="955" ht="15.75" customHeight="1" s="48">
      <c r="A955" s="15" t="n"/>
      <c r="B955" s="15" t="n"/>
      <c r="C955" s="15" t="n"/>
      <c r="D955" s="15" t="n"/>
      <c r="E955" s="15" t="n"/>
      <c r="F955" s="15" t="n"/>
      <c r="G955" s="15" t="n"/>
      <c r="H955" s="15" t="n"/>
      <c r="I955" s="15" t="n"/>
    </row>
    <row r="956" ht="15.75" customHeight="1" s="48">
      <c r="A956" s="15" t="n"/>
      <c r="B956" s="15" t="n"/>
      <c r="C956" s="15" t="n"/>
      <c r="D956" s="15" t="n"/>
      <c r="E956" s="15" t="n"/>
      <c r="F956" s="15" t="n"/>
      <c r="G956" s="15" t="n"/>
      <c r="H956" s="15" t="n"/>
      <c r="I956" s="15" t="n"/>
    </row>
    <row r="957" ht="15.75" customHeight="1" s="48">
      <c r="A957" s="15" t="n"/>
      <c r="B957" s="15" t="n"/>
      <c r="C957" s="15" t="n"/>
      <c r="D957" s="15" t="n"/>
      <c r="E957" s="15" t="n"/>
      <c r="F957" s="15" t="n"/>
      <c r="G957" s="15" t="n"/>
      <c r="H957" s="15" t="n"/>
      <c r="I957" s="15" t="n"/>
    </row>
    <row r="958" ht="15.75" customHeight="1" s="48">
      <c r="A958" s="15" t="n"/>
      <c r="B958" s="15" t="n"/>
      <c r="C958" s="15" t="n"/>
      <c r="D958" s="15" t="n"/>
      <c r="E958" s="15" t="n"/>
      <c r="F958" s="15" t="n"/>
      <c r="G958" s="15" t="n"/>
      <c r="H958" s="15" t="n"/>
      <c r="I958" s="15" t="n"/>
    </row>
    <row r="959" ht="15.75" customHeight="1" s="48">
      <c r="A959" s="15" t="n"/>
      <c r="B959" s="15" t="n"/>
      <c r="C959" s="15" t="n"/>
      <c r="D959" s="15" t="n"/>
      <c r="E959" s="15" t="n"/>
      <c r="F959" s="15" t="n"/>
      <c r="G959" s="15" t="n"/>
      <c r="H959" s="15" t="n"/>
      <c r="I959" s="15" t="n"/>
    </row>
    <row r="960" ht="15.75" customHeight="1" s="48">
      <c r="A960" s="15" t="n"/>
      <c r="B960" s="15" t="n"/>
      <c r="C960" s="15" t="n"/>
      <c r="D960" s="15" t="n"/>
      <c r="E960" s="15" t="n"/>
      <c r="F960" s="15" t="n"/>
      <c r="G960" s="15" t="n"/>
      <c r="H960" s="15" t="n"/>
      <c r="I960" s="15" t="n"/>
    </row>
    <row r="961" ht="15.75" customHeight="1" s="48">
      <c r="A961" s="15" t="n"/>
      <c r="B961" s="15" t="n"/>
      <c r="C961" s="15" t="n"/>
      <c r="D961" s="15" t="n"/>
      <c r="E961" s="15" t="n"/>
      <c r="F961" s="15" t="n"/>
      <c r="G961" s="15" t="n"/>
      <c r="H961" s="15" t="n"/>
      <c r="I961" s="15" t="n"/>
    </row>
    <row r="962" ht="15.75" customHeight="1" s="48">
      <c r="A962" s="15" t="n"/>
      <c r="B962" s="15" t="n"/>
      <c r="C962" s="15" t="n"/>
      <c r="D962" s="15" t="n"/>
      <c r="E962" s="15" t="n"/>
      <c r="F962" s="15" t="n"/>
      <c r="G962" s="15" t="n"/>
      <c r="H962" s="15" t="n"/>
      <c r="I962" s="15" t="n"/>
    </row>
    <row r="963" ht="15.75" customHeight="1" s="48">
      <c r="A963" s="15" t="n"/>
      <c r="B963" s="15" t="n"/>
      <c r="C963" s="15" t="n"/>
      <c r="D963" s="15" t="n"/>
      <c r="E963" s="15" t="n"/>
      <c r="F963" s="15" t="n"/>
      <c r="G963" s="15" t="n"/>
      <c r="H963" s="15" t="n"/>
      <c r="I963" s="15" t="n"/>
    </row>
    <row r="964" ht="15.75" customHeight="1" s="48">
      <c r="A964" s="15" t="n"/>
      <c r="B964" s="15" t="n"/>
      <c r="C964" s="15" t="n"/>
      <c r="D964" s="15" t="n"/>
      <c r="E964" s="15" t="n"/>
      <c r="F964" s="15" t="n"/>
      <c r="G964" s="15" t="n"/>
      <c r="H964" s="15" t="n"/>
      <c r="I964" s="15" t="n"/>
    </row>
    <row r="965" ht="15.75" customHeight="1" s="48">
      <c r="A965" s="15" t="n"/>
      <c r="B965" s="15" t="n"/>
      <c r="C965" s="15" t="n"/>
      <c r="D965" s="15" t="n"/>
      <c r="E965" s="15" t="n"/>
      <c r="F965" s="15" t="n"/>
      <c r="G965" s="15" t="n"/>
      <c r="H965" s="15" t="n"/>
      <c r="I965" s="15" t="n"/>
    </row>
    <row r="966" ht="15.75" customHeight="1" s="48">
      <c r="A966" s="15" t="n"/>
      <c r="B966" s="15" t="n"/>
      <c r="C966" s="15" t="n"/>
      <c r="D966" s="15" t="n"/>
      <c r="E966" s="15" t="n"/>
      <c r="F966" s="15" t="n"/>
      <c r="G966" s="15" t="n"/>
      <c r="H966" s="15" t="n"/>
      <c r="I966" s="15" t="n"/>
    </row>
    <row r="967" ht="15.75" customHeight="1" s="48">
      <c r="A967" s="15" t="n"/>
      <c r="B967" s="15" t="n"/>
      <c r="C967" s="15" t="n"/>
      <c r="D967" s="15" t="n"/>
      <c r="E967" s="15" t="n"/>
      <c r="F967" s="15" t="n"/>
      <c r="G967" s="15" t="n"/>
      <c r="H967" s="15" t="n"/>
      <c r="I967" s="15" t="n"/>
    </row>
    <row r="968" ht="15.75" customHeight="1" s="48">
      <c r="A968" s="15" t="n"/>
      <c r="B968" s="15" t="n"/>
      <c r="C968" s="15" t="n"/>
      <c r="D968" s="15" t="n"/>
      <c r="E968" s="15" t="n"/>
      <c r="F968" s="15" t="n"/>
      <c r="G968" s="15" t="n"/>
      <c r="H968" s="15" t="n"/>
      <c r="I968" s="15" t="n"/>
    </row>
    <row r="969" ht="15.75" customHeight="1" s="48">
      <c r="A969" s="15" t="n"/>
      <c r="B969" s="15" t="n"/>
      <c r="C969" s="15" t="n"/>
      <c r="D969" s="15" t="n"/>
      <c r="E969" s="15" t="n"/>
      <c r="F969" s="15" t="n"/>
      <c r="G969" s="15" t="n"/>
      <c r="H969" s="15" t="n"/>
      <c r="I969" s="15" t="n"/>
    </row>
    <row r="970" ht="15.75" customHeight="1" s="48">
      <c r="A970" s="15" t="n"/>
      <c r="B970" s="15" t="n"/>
      <c r="C970" s="15" t="n"/>
      <c r="D970" s="15" t="n"/>
      <c r="E970" s="15" t="n"/>
      <c r="F970" s="15" t="n"/>
      <c r="G970" s="15" t="n"/>
      <c r="H970" s="15" t="n"/>
      <c r="I970" s="15" t="n"/>
    </row>
    <row r="971" ht="15.75" customHeight="1" s="48">
      <c r="A971" s="15" t="n"/>
      <c r="B971" s="15" t="n"/>
      <c r="C971" s="15" t="n"/>
      <c r="D971" s="15" t="n"/>
      <c r="E971" s="15" t="n"/>
      <c r="F971" s="15" t="n"/>
      <c r="G971" s="15" t="n"/>
      <c r="H971" s="15" t="n"/>
      <c r="I971" s="15" t="n"/>
    </row>
    <row r="972" ht="15.75" customHeight="1" s="48">
      <c r="A972" s="15" t="n"/>
      <c r="B972" s="15" t="n"/>
      <c r="C972" s="15" t="n"/>
      <c r="D972" s="15" t="n"/>
      <c r="E972" s="15" t="n"/>
      <c r="F972" s="15" t="n"/>
      <c r="G972" s="15" t="n"/>
      <c r="H972" s="15" t="n"/>
      <c r="I972" s="15" t="n"/>
    </row>
    <row r="973" ht="15.75" customHeight="1" s="48">
      <c r="A973" s="15" t="n"/>
      <c r="B973" s="15" t="n"/>
      <c r="C973" s="15" t="n"/>
      <c r="D973" s="15" t="n"/>
      <c r="E973" s="15" t="n"/>
      <c r="F973" s="15" t="n"/>
      <c r="G973" s="15" t="n"/>
      <c r="H973" s="15" t="n"/>
      <c r="I973" s="15" t="n"/>
    </row>
    <row r="974" ht="15.75" customHeight="1" s="48">
      <c r="A974" s="15" t="n"/>
      <c r="B974" s="15" t="n"/>
      <c r="C974" s="15" t="n"/>
      <c r="D974" s="15" t="n"/>
      <c r="E974" s="15" t="n"/>
      <c r="F974" s="15" t="n"/>
      <c r="G974" s="15" t="n"/>
      <c r="H974" s="15" t="n"/>
      <c r="I974" s="15" t="n"/>
    </row>
    <row r="975" ht="15.75" customHeight="1" s="48">
      <c r="A975" s="15" t="n"/>
      <c r="B975" s="15" t="n"/>
      <c r="C975" s="15" t="n"/>
      <c r="D975" s="15" t="n"/>
      <c r="E975" s="15" t="n"/>
      <c r="F975" s="15" t="n"/>
      <c r="G975" s="15" t="n"/>
      <c r="H975" s="15" t="n"/>
      <c r="I975" s="15" t="n"/>
    </row>
    <row r="976" ht="15.75" customHeight="1" s="48">
      <c r="A976" s="15" t="n"/>
      <c r="B976" s="15" t="n"/>
      <c r="C976" s="15" t="n"/>
      <c r="D976" s="15" t="n"/>
      <c r="E976" s="15" t="n"/>
      <c r="F976" s="15" t="n"/>
      <c r="G976" s="15" t="n"/>
      <c r="H976" s="15" t="n"/>
      <c r="I976" s="15" t="n"/>
    </row>
    <row r="977" ht="15.75" customHeight="1" s="48">
      <c r="A977" s="15" t="n"/>
      <c r="B977" s="15" t="n"/>
      <c r="C977" s="15" t="n"/>
      <c r="D977" s="15" t="n"/>
      <c r="E977" s="15" t="n"/>
      <c r="F977" s="15" t="n"/>
      <c r="G977" s="15" t="n"/>
      <c r="H977" s="15" t="n"/>
      <c r="I977" s="15" t="n"/>
    </row>
    <row r="978" ht="15.75" customHeight="1" s="48">
      <c r="A978" s="15" t="n"/>
      <c r="B978" s="15" t="n"/>
      <c r="C978" s="15" t="n"/>
      <c r="D978" s="15" t="n"/>
      <c r="E978" s="15" t="n"/>
      <c r="F978" s="15" t="n"/>
      <c r="G978" s="15" t="n"/>
      <c r="H978" s="15" t="n"/>
      <c r="I978" s="15" t="n"/>
    </row>
    <row r="979" ht="15.75" customHeight="1" s="48">
      <c r="A979" s="15" t="n"/>
      <c r="B979" s="15" t="n"/>
      <c r="C979" s="15" t="n"/>
      <c r="D979" s="15" t="n"/>
      <c r="E979" s="15" t="n"/>
      <c r="F979" s="15" t="n"/>
      <c r="G979" s="15" t="n"/>
      <c r="H979" s="15" t="n"/>
      <c r="I979" s="15" t="n"/>
    </row>
    <row r="980" ht="15.75" customHeight="1" s="48">
      <c r="A980" s="15" t="n"/>
      <c r="B980" s="15" t="n"/>
      <c r="C980" s="15" t="n"/>
      <c r="D980" s="15" t="n"/>
      <c r="E980" s="15" t="n"/>
      <c r="F980" s="15" t="n"/>
      <c r="G980" s="15" t="n"/>
      <c r="H980" s="15" t="n"/>
      <c r="I980" s="15" t="n"/>
    </row>
    <row r="981" ht="15.75" customHeight="1" s="48">
      <c r="A981" s="15" t="n"/>
      <c r="B981" s="15" t="n"/>
      <c r="C981" s="15" t="n"/>
      <c r="D981" s="15" t="n"/>
      <c r="E981" s="15" t="n"/>
      <c r="F981" s="15" t="n"/>
      <c r="G981" s="15" t="n"/>
      <c r="H981" s="15" t="n"/>
      <c r="I981" s="15" t="n"/>
    </row>
    <row r="982" ht="15.75" customHeight="1" s="48">
      <c r="A982" s="15" t="n"/>
      <c r="B982" s="15" t="n"/>
      <c r="C982" s="15" t="n"/>
      <c r="D982" s="15" t="n"/>
      <c r="E982" s="15" t="n"/>
      <c r="F982" s="15" t="n"/>
      <c r="G982" s="15" t="n"/>
      <c r="H982" s="15" t="n"/>
      <c r="I982" s="15" t="n"/>
    </row>
    <row r="983" ht="15.75" customHeight="1" s="48">
      <c r="A983" s="15" t="n"/>
      <c r="B983" s="15" t="n"/>
      <c r="C983" s="15" t="n"/>
      <c r="D983" s="15" t="n"/>
      <c r="E983" s="15" t="n"/>
      <c r="F983" s="15" t="n"/>
      <c r="G983" s="15" t="n"/>
      <c r="H983" s="15" t="n"/>
      <c r="I983" s="15" t="n"/>
    </row>
    <row r="984" ht="15.75" customHeight="1" s="48">
      <c r="A984" s="15" t="n"/>
      <c r="B984" s="15" t="n"/>
      <c r="C984" s="15" t="n"/>
      <c r="D984" s="15" t="n"/>
      <c r="E984" s="15" t="n"/>
      <c r="F984" s="15" t="n"/>
      <c r="G984" s="15" t="n"/>
      <c r="H984" s="15" t="n"/>
      <c r="I984" s="15" t="n"/>
    </row>
    <row r="985" ht="15.75" customHeight="1" s="48">
      <c r="A985" s="15" t="n"/>
      <c r="B985" s="15" t="n"/>
      <c r="C985" s="15" t="n"/>
      <c r="D985" s="15" t="n"/>
      <c r="E985" s="15" t="n"/>
      <c r="F985" s="15" t="n"/>
      <c r="G985" s="15" t="n"/>
      <c r="H985" s="15" t="n"/>
      <c r="I985" s="15" t="n"/>
    </row>
    <row r="986" ht="15.75" customHeight="1" s="48">
      <c r="A986" s="15" t="n"/>
      <c r="B986" s="15" t="n"/>
      <c r="C986" s="15" t="n"/>
      <c r="D986" s="15" t="n"/>
      <c r="E986" s="15" t="n"/>
      <c r="F986" s="15" t="n"/>
      <c r="G986" s="15" t="n"/>
      <c r="H986" s="15" t="n"/>
      <c r="I986" s="15" t="n"/>
    </row>
    <row r="987" ht="15.75" customHeight="1" s="48">
      <c r="A987" s="15" t="n"/>
      <c r="B987" s="15" t="n"/>
      <c r="C987" s="15" t="n"/>
      <c r="D987" s="15" t="n"/>
      <c r="E987" s="15" t="n"/>
      <c r="F987" s="15" t="n"/>
      <c r="G987" s="15" t="n"/>
      <c r="H987" s="15" t="n"/>
      <c r="I987" s="15" t="n"/>
    </row>
    <row r="988" ht="15.75" customHeight="1" s="48">
      <c r="A988" s="15" t="n"/>
      <c r="B988" s="15" t="n"/>
      <c r="C988" s="15" t="n"/>
      <c r="D988" s="15" t="n"/>
      <c r="E988" s="15" t="n"/>
      <c r="F988" s="15" t="n"/>
      <c r="G988" s="15" t="n"/>
      <c r="H988" s="15" t="n"/>
      <c r="I988" s="15" t="n"/>
    </row>
    <row r="989" ht="15.75" customHeight="1" s="48">
      <c r="A989" s="15" t="n"/>
      <c r="B989" s="15" t="n"/>
      <c r="C989" s="15" t="n"/>
      <c r="D989" s="15" t="n"/>
      <c r="E989" s="15" t="n"/>
      <c r="F989" s="15" t="n"/>
      <c r="G989" s="15" t="n"/>
      <c r="H989" s="15" t="n"/>
      <c r="I989" s="15" t="n"/>
    </row>
    <row r="990" ht="15.75" customHeight="1" s="48">
      <c r="A990" s="15" t="n"/>
      <c r="B990" s="15" t="n"/>
      <c r="C990" s="15" t="n"/>
      <c r="D990" s="15" t="n"/>
      <c r="E990" s="15" t="n"/>
      <c r="F990" s="15" t="n"/>
      <c r="G990" s="15" t="n"/>
      <c r="H990" s="15" t="n"/>
      <c r="I990" s="15" t="n"/>
    </row>
    <row r="991" ht="15.75" customHeight="1" s="48">
      <c r="A991" s="15" t="n"/>
      <c r="B991" s="15" t="n"/>
      <c r="C991" s="15" t="n"/>
      <c r="D991" s="15" t="n"/>
      <c r="E991" s="15" t="n"/>
      <c r="F991" s="15" t="n"/>
      <c r="G991" s="15" t="n"/>
      <c r="H991" s="15" t="n"/>
      <c r="I991" s="15" t="n"/>
    </row>
    <row r="992" ht="15.75" customHeight="1" s="48">
      <c r="A992" s="15" t="n"/>
      <c r="B992" s="15" t="n"/>
      <c r="C992" s="15" t="n"/>
      <c r="D992" s="15" t="n"/>
      <c r="E992" s="15" t="n"/>
      <c r="F992" s="15" t="n"/>
      <c r="G992" s="15" t="n"/>
      <c r="H992" s="15" t="n"/>
      <c r="I992" s="15" t="n"/>
    </row>
    <row r="993" ht="15.75" customHeight="1" s="48">
      <c r="A993" s="15" t="n"/>
      <c r="B993" s="15" t="n"/>
      <c r="C993" s="15" t="n"/>
      <c r="D993" s="15" t="n"/>
      <c r="E993" s="15" t="n"/>
      <c r="F993" s="15" t="n"/>
      <c r="G993" s="15" t="n"/>
      <c r="H993" s="15" t="n"/>
      <c r="I993" s="15" t="n"/>
    </row>
    <row r="994" ht="15.75" customHeight="1" s="48">
      <c r="A994" s="15" t="n"/>
      <c r="B994" s="15" t="n"/>
      <c r="C994" s="15" t="n"/>
      <c r="D994" s="15" t="n"/>
      <c r="E994" s="15" t="n"/>
      <c r="F994" s="15" t="n"/>
      <c r="G994" s="15" t="n"/>
      <c r="H994" s="15" t="n"/>
      <c r="I994" s="15" t="n"/>
    </row>
    <row r="995" ht="15.75" customHeight="1" s="48">
      <c r="A995" s="15" t="n"/>
      <c r="B995" s="15" t="n"/>
      <c r="C995" s="15" t="n"/>
      <c r="D995" s="15" t="n"/>
      <c r="E995" s="15" t="n"/>
      <c r="F995" s="15" t="n"/>
      <c r="G995" s="15" t="n"/>
      <c r="H995" s="15" t="n"/>
      <c r="I995" s="15" t="n"/>
    </row>
    <row r="996" ht="15.75" customHeight="1" s="48">
      <c r="A996" s="15" t="n"/>
      <c r="B996" s="15" t="n"/>
      <c r="C996" s="15" t="n"/>
      <c r="D996" s="15" t="n"/>
      <c r="E996" s="15" t="n"/>
      <c r="F996" s="15" t="n"/>
      <c r="G996" s="15" t="n"/>
      <c r="H996" s="15" t="n"/>
      <c r="I996" s="15" t="n"/>
    </row>
    <row r="997" ht="15.75" customHeight="1" s="48">
      <c r="A997" s="15" t="n"/>
      <c r="B997" s="15" t="n"/>
      <c r="C997" s="15" t="n"/>
      <c r="D997" s="15" t="n"/>
      <c r="E997" s="15" t="n"/>
      <c r="F997" s="15" t="n"/>
      <c r="G997" s="15" t="n"/>
      <c r="H997" s="15" t="n"/>
      <c r="I997" s="15" t="n"/>
    </row>
    <row r="998" ht="15.75" customHeight="1" s="48">
      <c r="A998" s="15" t="n"/>
      <c r="B998" s="15" t="n"/>
      <c r="C998" s="15" t="n"/>
      <c r="D998" s="15" t="n"/>
      <c r="E998" s="15" t="n"/>
      <c r="F998" s="15" t="n"/>
      <c r="G998" s="15" t="n"/>
      <c r="H998" s="15" t="n"/>
      <c r="I998" s="15" t="n"/>
    </row>
    <row r="999" ht="15.75" customHeight="1" s="48">
      <c r="A999" s="15" t="n"/>
      <c r="B999" s="15" t="n"/>
      <c r="C999" s="15" t="n"/>
      <c r="D999" s="15" t="n"/>
      <c r="E999" s="15" t="n"/>
      <c r="F999" s="15" t="n"/>
      <c r="G999" s="15" t="n"/>
      <c r="H999" s="15" t="n"/>
      <c r="I999" s="15" t="n"/>
    </row>
    <row r="1000" ht="15.75" customHeight="1" s="48">
      <c r="A1000" s="15" t="n"/>
      <c r="B1000" s="15" t="n"/>
      <c r="C1000" s="15" t="n"/>
      <c r="D1000" s="15" t="n"/>
      <c r="E1000" s="15" t="n"/>
      <c r="F1000" s="15" t="n"/>
      <c r="G1000" s="15" t="n"/>
      <c r="H1000" s="15" t="n"/>
      <c r="I1000" s="15" t="n"/>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116" r:id="rId46"/>
    <hyperlink xmlns:r="http://schemas.openxmlformats.org/officeDocument/2006/relationships" ref="D117" r:id="rId47"/>
    <hyperlink xmlns:r="http://schemas.openxmlformats.org/officeDocument/2006/relationships" ref="D118" r:id="rId48"/>
    <hyperlink xmlns:r="http://schemas.openxmlformats.org/officeDocument/2006/relationships" ref="D119" r:id="rId49"/>
    <hyperlink xmlns:r="http://schemas.openxmlformats.org/officeDocument/2006/relationships" ref="D120" r:id="rId50"/>
    <hyperlink xmlns:r="http://schemas.openxmlformats.org/officeDocument/2006/relationships" ref="D121" r:id="rId51"/>
    <hyperlink xmlns:r="http://schemas.openxmlformats.org/officeDocument/2006/relationships" ref="D122" r:id="rId52"/>
    <hyperlink xmlns:r="http://schemas.openxmlformats.org/officeDocument/2006/relationships" ref="D123" r:id="rId53"/>
    <hyperlink xmlns:r="http://schemas.openxmlformats.org/officeDocument/2006/relationships" ref="D124" r:id="rId54"/>
    <hyperlink xmlns:r="http://schemas.openxmlformats.org/officeDocument/2006/relationships" ref="D125" r:id="rId55"/>
    <hyperlink xmlns:r="http://schemas.openxmlformats.org/officeDocument/2006/relationships" ref="D126" r:id="rId56"/>
    <hyperlink xmlns:r="http://schemas.openxmlformats.org/officeDocument/2006/relationships" ref="D127" r:id="rId57"/>
    <hyperlink xmlns:r="http://schemas.openxmlformats.org/officeDocument/2006/relationships" ref="D128" r:id="rId58"/>
    <hyperlink xmlns:r="http://schemas.openxmlformats.org/officeDocument/2006/relationships" ref="D129" r:id="rId59"/>
    <hyperlink xmlns:r="http://schemas.openxmlformats.org/officeDocument/2006/relationships" ref="D130" r:id="rId60"/>
    <hyperlink xmlns:r="http://schemas.openxmlformats.org/officeDocument/2006/relationships" ref="D131" r:id="rId61"/>
    <hyperlink xmlns:r="http://schemas.openxmlformats.org/officeDocument/2006/relationships" ref="D132" r:id="rId62"/>
    <hyperlink xmlns:r="http://schemas.openxmlformats.org/officeDocument/2006/relationships" ref="D133" r:id="rId63"/>
    <hyperlink xmlns:r="http://schemas.openxmlformats.org/officeDocument/2006/relationships" ref="D134" r:id="rId64"/>
    <hyperlink xmlns:r="http://schemas.openxmlformats.org/officeDocument/2006/relationships" ref="D135" r:id="rId65"/>
    <hyperlink xmlns:r="http://schemas.openxmlformats.org/officeDocument/2006/relationships" ref="D136" r:id="rId66"/>
    <hyperlink xmlns:r="http://schemas.openxmlformats.org/officeDocument/2006/relationships" ref="D137" r:id="rId67"/>
    <hyperlink xmlns:r="http://schemas.openxmlformats.org/officeDocument/2006/relationships" ref="D138" r:id="rId68"/>
    <hyperlink xmlns:r="http://schemas.openxmlformats.org/officeDocument/2006/relationships" ref="D139" r:id="rId69"/>
    <hyperlink xmlns:r="http://schemas.openxmlformats.org/officeDocument/2006/relationships" ref="D140" r:id="rId70"/>
    <hyperlink xmlns:r="http://schemas.openxmlformats.org/officeDocument/2006/relationships" ref="D141" r:id="rId71"/>
    <hyperlink xmlns:r="http://schemas.openxmlformats.org/officeDocument/2006/relationships" ref="D142" r:id="rId72"/>
    <hyperlink xmlns:r="http://schemas.openxmlformats.org/officeDocument/2006/relationships" ref="D143" r:id="rId73"/>
    <hyperlink xmlns:r="http://schemas.openxmlformats.org/officeDocument/2006/relationships" ref="D144" r:id="rId74"/>
    <hyperlink xmlns:r="http://schemas.openxmlformats.org/officeDocument/2006/relationships" ref="D145" r:id="rId75"/>
    <hyperlink xmlns:r="http://schemas.openxmlformats.org/officeDocument/2006/relationships" ref="D146" r:id="rId76"/>
  </hyperlink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AA1000"/>
  <sheetViews>
    <sheetView workbookViewId="0">
      <pane ySplit="1" topLeftCell="A2" activePane="bottomLeft" state="frozen"/>
      <selection pane="bottomLeft" activeCell="B3" sqref="B3"/>
    </sheetView>
  </sheetViews>
  <sheetFormatPr baseColWidth="8" defaultColWidth="12.63" defaultRowHeight="15" customHeight="1"/>
  <cols>
    <col width="40" customWidth="1" style="48" min="1" max="1"/>
    <col width="18" customWidth="1" style="48" min="2" max="2"/>
    <col width="17" customWidth="1" style="48" min="3" max="3"/>
    <col width="45" customWidth="1" style="48" min="4" max="4"/>
    <col width="8" customWidth="1" style="48" min="5" max="5"/>
    <col width="14" customWidth="1" style="48" min="6" max="6"/>
    <col width="13" customWidth="1" style="48" min="7" max="7"/>
    <col width="14" customWidth="1" style="48" min="8" max="8"/>
    <col width="60" customWidth="1" style="48" min="9" max="9"/>
    <col width="15.88" customWidth="1" style="48" min="10" max="10"/>
    <col width="15" customWidth="1" style="48" min="11" max="11"/>
    <col width="8.630000000000001" customWidth="1" style="48" min="12" max="27"/>
  </cols>
  <sheetData>
    <row r="1">
      <c r="A1" s="16" t="inlineStr">
        <is>
          <t>Business Name</t>
        </is>
      </c>
      <c r="B1" s="16" t="inlineStr">
        <is>
          <t>City</t>
        </is>
      </c>
      <c r="C1" s="16" t="inlineStr">
        <is>
          <t>Phone</t>
        </is>
      </c>
      <c r="D1" s="16" t="inlineStr">
        <is>
          <t>Website</t>
        </is>
      </c>
      <c r="E1" s="16" t="inlineStr">
        <is>
          <t>Rating</t>
        </is>
      </c>
      <c r="F1" s="16" t="inlineStr">
        <is>
          <t>Review Count</t>
        </is>
      </c>
      <c r="G1" s="16" t="inlineStr">
        <is>
          <t>Is Franchise</t>
        </is>
      </c>
      <c r="H1" s="16" t="inlineStr">
        <is>
          <t>Tier</t>
        </is>
      </c>
      <c r="I1" s="16" t="inlineStr">
        <is>
          <t>Notes</t>
        </is>
      </c>
      <c r="J1" s="16" t="inlineStr">
        <is>
          <t>Names</t>
        </is>
      </c>
      <c r="K1" s="17" t="inlineStr">
        <is>
          <t>Progress</t>
        </is>
      </c>
    </row>
    <row r="2">
      <c r="A2" s="21" t="inlineStr">
        <is>
          <t>F &amp; M Plumbing</t>
        </is>
      </c>
      <c r="B2" s="22" t="inlineStr">
        <is>
          <t>Pasadena, CA</t>
        </is>
      </c>
      <c r="C2" s="22" t="inlineStr">
        <is>
          <t>+1 626-296-1060</t>
        </is>
      </c>
      <c r="D2" s="20" t="inlineStr">
        <is>
          <t>http://www.fandmplumbing.com/</t>
        </is>
      </c>
      <c r="E2" s="22" t="n">
        <v>4.5</v>
      </c>
      <c r="F2" s="22" t="n">
        <v>48</v>
      </c>
      <c r="G2" s="22" t="inlineStr">
        <is>
          <t>NO</t>
        </is>
      </c>
      <c r="H2" s="22" t="inlineStr">
        <is>
          <t>TIER 1 - HOT</t>
        </is>
      </c>
      <c r="I2" s="21" t="inlineStr">
        <is>
          <t>Pros:
They have yelp reviews but it takes them to a third party site ti fill in reviews
They have google reviews so that is good, 
Cons: 
The placement of text, no reviews on website that are visible on first page.
Just images of their prduct but nothing about their team.
Header being cluttered and Hero section not really hvaing anything useful
Alot of logos that do not directly correlate to plumbing
Alot of text through out home page
Structure of text
Hero section has to much text.</t>
        </is>
      </c>
      <c r="J2" s="22" t="inlineStr">
        <is>
          <t>Mke</t>
        </is>
      </c>
      <c r="K2" s="36" t="inlineStr">
        <is>
          <t>Callback</t>
        </is>
      </c>
      <c r="L2" s="24" t="n"/>
      <c r="M2" s="24" t="n"/>
      <c r="N2" s="24" t="n"/>
      <c r="O2" s="24" t="n"/>
      <c r="P2" s="24" t="n"/>
      <c r="Q2" s="24" t="n"/>
      <c r="R2" s="24" t="n"/>
      <c r="S2" s="24" t="n"/>
      <c r="T2" s="24" t="n"/>
      <c r="U2" s="24" t="n"/>
      <c r="V2" s="24" t="n"/>
      <c r="W2" s="24" t="n"/>
      <c r="X2" s="24" t="n"/>
      <c r="Y2" s="24" t="n"/>
      <c r="Z2" s="24" t="n"/>
      <c r="AA2" s="24" t="n"/>
    </row>
    <row r="3">
      <c r="A3" s="25" t="inlineStr">
        <is>
          <t>Monkey Wrench Plumbing, Heating, Air &amp; Electric</t>
        </is>
      </c>
      <c r="B3" s="26" t="inlineStr">
        <is>
          <t>Pasadena, CA</t>
        </is>
      </c>
      <c r="C3" s="26" t="inlineStr">
        <is>
          <t>+1 626-714-6224</t>
        </is>
      </c>
      <c r="D3" s="25" t="inlineStr">
        <is>
          <t>https://www.monkeywrenchservices.com/?utm_source=google&amp;utm_medium=organic&amp;utm_campaign=GMBListing-Pasadena-CA</t>
        </is>
      </c>
      <c r="E3" s="26" t="n">
        <v>4.8</v>
      </c>
      <c r="F3" s="26" t="n">
        <v>273</v>
      </c>
      <c r="G3" s="26" t="inlineStr">
        <is>
          <t>YES</t>
        </is>
      </c>
      <c r="H3" s="26" t="inlineStr">
        <is>
          <t>TIER 3</t>
        </is>
      </c>
      <c r="I3" s="25" t="n"/>
      <c r="J3" s="26" t="n"/>
      <c r="K3" s="27" t="n"/>
    </row>
    <row r="4">
      <c r="A4" s="34" t="inlineStr">
        <is>
          <t>Plumber's Kingdom</t>
        </is>
      </c>
      <c r="B4" s="32" t="inlineStr">
        <is>
          <t>Pasadena, CA</t>
        </is>
      </c>
      <c r="C4" s="32" t="inlineStr">
        <is>
          <t>+1 626-594-6355</t>
        </is>
      </c>
      <c r="D4" s="34" t="n"/>
      <c r="E4" s="32" t="n">
        <v>4.9</v>
      </c>
      <c r="F4" s="32" t="n">
        <v>72</v>
      </c>
      <c r="G4" s="32" t="inlineStr">
        <is>
          <t>NO</t>
        </is>
      </c>
      <c r="H4" s="32" t="inlineStr">
        <is>
          <t>TIER 1 - HOT</t>
        </is>
      </c>
      <c r="I4" s="34" t="n"/>
      <c r="J4" s="32" t="n"/>
      <c r="K4" s="35" t="n"/>
      <c r="L4" s="31" t="n"/>
      <c r="M4" s="31" t="n"/>
      <c r="N4" s="31" t="n"/>
      <c r="O4" s="31" t="n"/>
      <c r="P4" s="31" t="n"/>
      <c r="Q4" s="31" t="n"/>
      <c r="R4" s="31" t="n"/>
      <c r="S4" s="31" t="n"/>
      <c r="T4" s="31" t="n"/>
      <c r="U4" s="31" t="n"/>
      <c r="V4" s="31" t="n"/>
      <c r="W4" s="31" t="n"/>
      <c r="X4" s="31" t="n"/>
      <c r="Y4" s="31" t="n"/>
      <c r="Z4" s="31" t="n"/>
      <c r="AA4" s="31" t="n"/>
    </row>
    <row r="5">
      <c r="A5" s="25" t="inlineStr">
        <is>
          <t>Service Squad</t>
        </is>
      </c>
      <c r="B5" s="26" t="inlineStr">
        <is>
          <t>Pasadena, CA</t>
        </is>
      </c>
      <c r="C5" s="26" t="inlineStr">
        <is>
          <t>+1 626-624-4288</t>
        </is>
      </c>
      <c r="D5" s="25" t="inlineStr">
        <is>
          <t>http://www.callservicesquad.com/</t>
        </is>
      </c>
      <c r="E5" s="26" t="n">
        <v>4.9</v>
      </c>
      <c r="F5" s="26" t="n">
        <v>130</v>
      </c>
      <c r="G5" s="26" t="inlineStr">
        <is>
          <t>YES</t>
        </is>
      </c>
      <c r="H5" s="26" t="inlineStr">
        <is>
          <t>TIER 3</t>
        </is>
      </c>
      <c r="I5" s="25" t="n"/>
      <c r="J5" s="26" t="n"/>
      <c r="K5" s="27" t="n"/>
    </row>
    <row r="6">
      <c r="A6" s="34" t="inlineStr">
        <is>
          <t>Most Valuable Plumber</t>
        </is>
      </c>
      <c r="B6" s="32" t="inlineStr">
        <is>
          <t>Pasadena, CA</t>
        </is>
      </c>
      <c r="C6" s="32" t="inlineStr">
        <is>
          <t>1 415-577-5866</t>
        </is>
      </c>
      <c r="D6" s="33" t="inlineStr">
        <is>
          <t>https://mvp-plumbing.com/?utm_source=GBP&amp;utm_medium=organic</t>
        </is>
      </c>
      <c r="E6" s="32" t="n">
        <v>4.8</v>
      </c>
      <c r="F6" s="32" t="n">
        <v>148</v>
      </c>
      <c r="G6" s="32" t="inlineStr">
        <is>
          <t>NO</t>
        </is>
      </c>
      <c r="H6" s="32" t="inlineStr">
        <is>
          <t>TIER 1 - HOT</t>
        </is>
      </c>
      <c r="I6" s="34" t="inlineStr">
        <is>
          <t>Cannot see websit eget a 403 error. Just plan nothing going on, Have alot of google reviews so very well known</t>
        </is>
      </c>
      <c r="J6" s="32" t="inlineStr">
        <is>
          <t>Blanca contact person</t>
        </is>
      </c>
      <c r="K6" s="35" t="inlineStr">
        <is>
          <t>No</t>
        </is>
      </c>
      <c r="L6" s="31" t="n"/>
      <c r="M6" s="31" t="n"/>
      <c r="N6" s="31" t="n"/>
      <c r="O6" s="31" t="n"/>
      <c r="P6" s="31" t="n"/>
      <c r="Q6" s="31" t="n"/>
      <c r="R6" s="31" t="n"/>
      <c r="S6" s="31" t="n"/>
      <c r="T6" s="31" t="n"/>
      <c r="U6" s="31" t="n"/>
      <c r="V6" s="31" t="n"/>
      <c r="W6" s="31" t="n"/>
      <c r="X6" s="31" t="n"/>
      <c r="Y6" s="31" t="n"/>
      <c r="Z6" s="31" t="n"/>
      <c r="AA6" s="31" t="n"/>
    </row>
    <row r="7">
      <c r="A7" s="34" t="inlineStr">
        <is>
          <t>Bubbles Plumbing &amp; Electrical</t>
        </is>
      </c>
      <c r="B7" s="32" t="inlineStr">
        <is>
          <t>Pasadena, CA</t>
        </is>
      </c>
      <c r="C7" s="32" t="inlineStr">
        <is>
          <t>+1 626-794-8110</t>
        </is>
      </c>
      <c r="D7" s="33" t="inlineStr">
        <is>
          <t>http://www.bubbles-plumbing.com/</t>
        </is>
      </c>
      <c r="E7" s="32" t="n">
        <v>4.7</v>
      </c>
      <c r="F7" s="32" t="n">
        <v>31</v>
      </c>
      <c r="G7" s="32" t="inlineStr">
        <is>
          <t>NO</t>
        </is>
      </c>
      <c r="H7" s="32" t="inlineStr">
        <is>
          <t>TIER 1 - HOT</t>
        </is>
      </c>
      <c r="I7" s="34" t="inlineStr">
        <is>
          <t>Website is down, a 404 error, cannot view it. They have minimal reviews, Good reviews 
about their work in the plumbing place, have alot of room for improvement</t>
        </is>
      </c>
      <c r="J7" s="32" t="inlineStr">
        <is>
          <t>Richard, He does not 
like websites</t>
        </is>
      </c>
      <c r="K7" s="35" t="n"/>
      <c r="L7" s="31" t="n"/>
      <c r="M7" s="31" t="n"/>
      <c r="N7" s="31" t="n"/>
      <c r="O7" s="31" t="n"/>
      <c r="P7" s="31" t="n"/>
      <c r="Q7" s="31" t="n"/>
      <c r="R7" s="31" t="n"/>
      <c r="S7" s="31" t="n"/>
      <c r="T7" s="31" t="n"/>
      <c r="U7" s="31" t="n"/>
      <c r="V7" s="31" t="n"/>
      <c r="W7" s="31" t="n"/>
      <c r="X7" s="31" t="n"/>
      <c r="Y7" s="31" t="n"/>
      <c r="Z7" s="31" t="n"/>
      <c r="AA7" s="31" t="n"/>
    </row>
    <row r="8">
      <c r="A8" s="34" t="inlineStr">
        <is>
          <t>Coastal Plumber Pasadena</t>
        </is>
      </c>
      <c r="B8" s="32" t="inlineStr">
        <is>
          <t>Pasadena, CA</t>
        </is>
      </c>
      <c r="C8" s="32" t="inlineStr">
        <is>
          <t>+1 213-658-3165</t>
        </is>
      </c>
      <c r="D8" s="33" t="inlineStr">
        <is>
          <t>http://coastalplumberpasadena.com/</t>
        </is>
      </c>
      <c r="E8" s="32" t="n">
        <v>5</v>
      </c>
      <c r="F8" s="32" t="n">
        <v>27</v>
      </c>
      <c r="G8" s="32" t="inlineStr">
        <is>
          <t>NO</t>
        </is>
      </c>
      <c r="H8" s="32" t="inlineStr">
        <is>
          <t>TIER 1 - HOT</t>
        </is>
      </c>
      <c r="I8" s="34" t="inlineStr">
        <is>
          <t>Pro:
They have alot of room for improvement,Thye do have alot of text explaining their business so that is a pro,
Cons:
Alot of texr,
Stock images, Basic Hero Section with a Huge chunk of text, could be broken up
No Team photos so you do not know who th eactual team is and what they do.
Very Basic website</t>
        </is>
      </c>
      <c r="J8" s="32" t="inlineStr">
        <is>
          <t>Bitch ass zip code</t>
        </is>
      </c>
      <c r="K8" s="35" t="n"/>
      <c r="L8" s="31" t="n"/>
      <c r="M8" s="31" t="n"/>
      <c r="N8" s="31" t="n"/>
      <c r="O8" s="31" t="n"/>
      <c r="P8" s="31" t="n"/>
      <c r="Q8" s="31" t="n"/>
      <c r="R8" s="31" t="n"/>
      <c r="S8" s="31" t="n"/>
      <c r="T8" s="31" t="n"/>
      <c r="U8" s="31" t="n"/>
      <c r="V8" s="31" t="n"/>
      <c r="W8" s="31" t="n"/>
      <c r="X8" s="31" t="n"/>
      <c r="Y8" s="31" t="n"/>
      <c r="Z8" s="31" t="n"/>
      <c r="AA8" s="31" t="n"/>
    </row>
    <row r="9">
      <c r="A9" s="21" t="inlineStr">
        <is>
          <t>Non Stop Plumbing &amp; Rooter</t>
        </is>
      </c>
      <c r="B9" s="22" t="inlineStr">
        <is>
          <t>Pasadena, CA</t>
        </is>
      </c>
      <c r="C9" s="22" t="inlineStr">
        <is>
          <t>+1 626-590-2446</t>
        </is>
      </c>
      <c r="D9" s="20" t="inlineStr">
        <is>
          <t>http://nonstoplumbing.com/</t>
        </is>
      </c>
      <c r="E9" s="22" t="n">
        <v>5</v>
      </c>
      <c r="F9" s="22" t="n">
        <v>113</v>
      </c>
      <c r="G9" s="22" t="inlineStr">
        <is>
          <t>NO</t>
        </is>
      </c>
      <c r="H9" s="22" t="inlineStr">
        <is>
          <t>TIER 1 - HOT</t>
        </is>
      </c>
      <c r="I9" s="21" t="inlineStr">
        <is>
          <t>Pro:
They have a website but not a good one at all
Cons:
Online presence is at a minimum, 
Have reviews but nothing is shown on the wbesite
Just show the services, the website is horrible,
Only a contact us form nothing extra with regards to lead follow up
Have no pictures on their website so no trust built</t>
        </is>
      </c>
      <c r="J9" s="22" t="inlineStr">
        <is>
          <t>Luke warm Call again</t>
        </is>
      </c>
      <c r="K9" s="36" t="n"/>
      <c r="L9" s="24" t="n"/>
      <c r="M9" s="24" t="n"/>
      <c r="N9" s="24" t="n"/>
      <c r="O9" s="24" t="n"/>
      <c r="P9" s="24" t="n"/>
      <c r="Q9" s="24" t="n"/>
      <c r="R9" s="24" t="n"/>
      <c r="S9" s="24" t="n"/>
      <c r="T9" s="24" t="n"/>
      <c r="U9" s="24" t="n"/>
      <c r="V9" s="24" t="n"/>
      <c r="W9" s="24" t="n"/>
      <c r="X9" s="24" t="n"/>
      <c r="Y9" s="24" t="n"/>
      <c r="Z9" s="24" t="n"/>
      <c r="AA9" s="24" t="n"/>
    </row>
    <row r="10">
      <c r="A10" s="25" t="inlineStr">
        <is>
          <t>Roto-Rooter Plumbing &amp; Water Cleanup</t>
        </is>
      </c>
      <c r="B10" s="26" t="inlineStr">
        <is>
          <t>Pasadena, CA</t>
        </is>
      </c>
      <c r="C10" s="26" t="inlineStr">
        <is>
          <t>+1 626-660-3309</t>
        </is>
      </c>
      <c r="D10" s="25" t="inlineStr">
        <is>
          <t>https://www.rotorooter.com/pasadenaca/?utm_source=Google&amp;utm_medium=organic&amp;utm_campaign=gmb&amp;utm_content=website</t>
        </is>
      </c>
      <c r="E10" s="26" t="n">
        <v>4.9</v>
      </c>
      <c r="F10" s="26" t="n">
        <v>753</v>
      </c>
      <c r="G10" s="26" t="inlineStr">
        <is>
          <t>YES</t>
        </is>
      </c>
      <c r="H10" s="26" t="inlineStr">
        <is>
          <t>TIER 3</t>
        </is>
      </c>
      <c r="I10" s="25" t="n"/>
      <c r="J10" s="26" t="n"/>
      <c r="K10" s="27" t="n"/>
    </row>
    <row r="11">
      <c r="A11" s="34" t="inlineStr">
        <is>
          <t>New Image Plumbing &amp; Rooter</t>
        </is>
      </c>
      <c r="B11" s="32" t="inlineStr">
        <is>
          <t>Pasadena, CA</t>
        </is>
      </c>
      <c r="C11" s="32" t="inlineStr">
        <is>
          <t>+1 626-788-8260</t>
        </is>
      </c>
      <c r="D11" s="33" t="inlineStr">
        <is>
          <t>https://www.niplumbing.com/</t>
        </is>
      </c>
      <c r="E11" s="32" t="n">
        <v>5</v>
      </c>
      <c r="F11" s="32" t="n">
        <v>30</v>
      </c>
      <c r="G11" s="32" t="inlineStr">
        <is>
          <t>NO</t>
        </is>
      </c>
      <c r="H11" s="32" t="inlineStr">
        <is>
          <t>TIER 1 - HOT</t>
        </is>
      </c>
      <c r="I11" s="34" t="inlineStr">
        <is>
          <t>Pro:
Very good website, have booking form,
Have images of a truck so they have money,
Have a nice website flow, show all th einformation
Cons: 
They have alot o ftext on the home page,
No images of team, 
They have reviews that they show.</t>
        </is>
      </c>
      <c r="J11" s="32" t="inlineStr">
        <is>
          <t>No</t>
        </is>
      </c>
      <c r="K11" s="35" t="n"/>
      <c r="L11" s="31" t="n"/>
      <c r="M11" s="31" t="n"/>
      <c r="N11" s="31" t="n"/>
      <c r="O11" s="31" t="n"/>
      <c r="P11" s="31" t="n"/>
      <c r="Q11" s="31" t="n"/>
      <c r="R11" s="31" t="n"/>
      <c r="S11" s="31" t="n"/>
      <c r="T11" s="31" t="n"/>
      <c r="U11" s="31" t="n"/>
      <c r="V11" s="31" t="n"/>
      <c r="W11" s="31" t="n"/>
      <c r="X11" s="31" t="n"/>
      <c r="Y11" s="31" t="n"/>
      <c r="Z11" s="31" t="n"/>
      <c r="AA11" s="31" t="n"/>
    </row>
    <row r="12">
      <c r="A12" s="34" t="inlineStr">
        <is>
          <t>Premier Plumber Pasadena</t>
        </is>
      </c>
      <c r="B12" s="32" t="inlineStr">
        <is>
          <t>Pasadena, CA</t>
        </is>
      </c>
      <c r="C12" s="32" t="inlineStr">
        <is>
          <t>+1 626-240-1320</t>
        </is>
      </c>
      <c r="D12" s="33" t="inlineStr">
        <is>
          <t>http://premierplumberpasadena.com/</t>
        </is>
      </c>
      <c r="E12" s="32" t="n">
        <v>5</v>
      </c>
      <c r="F12" s="32" t="n">
        <v>12</v>
      </c>
      <c r="G12" s="32" t="inlineStr">
        <is>
          <t>NO</t>
        </is>
      </c>
      <c r="H12" s="32" t="inlineStr">
        <is>
          <t>TIER 1 - HOT</t>
        </is>
      </c>
      <c r="I12" s="34" t="inlineStr">
        <is>
          <t>Con: 
Lack of images,
aLot of text on screen so not everyone will read,
Placement of different things like auto quote,
Make the Trust building shorter but more impackful using images,
No reviews on Home page
Pros: 
they have a blog so people could learn more about plumming and how 
to take care of things, this builds trust</t>
        </is>
      </c>
      <c r="J12" s="32" t="n"/>
      <c r="K12" s="35" t="n"/>
      <c r="L12" s="31" t="n"/>
      <c r="M12" s="31" t="n"/>
      <c r="N12" s="31" t="n"/>
      <c r="O12" s="31" t="n"/>
      <c r="P12" s="31" t="n"/>
      <c r="Q12" s="31" t="n"/>
      <c r="R12" s="31" t="n"/>
      <c r="S12" s="31" t="n"/>
      <c r="T12" s="31" t="n"/>
      <c r="U12" s="31" t="n"/>
      <c r="V12" s="31" t="n"/>
      <c r="W12" s="31" t="n"/>
      <c r="X12" s="31" t="n"/>
      <c r="Y12" s="31" t="n"/>
      <c r="Z12" s="31" t="n"/>
      <c r="AA12" s="31" t="n"/>
    </row>
    <row r="13">
      <c r="A13" s="25" t="inlineStr">
        <is>
          <t>Free Flo Rooter &amp; Plumbing</t>
        </is>
      </c>
      <c r="B13" s="26" t="inlineStr">
        <is>
          <t>Pasadena, CA</t>
        </is>
      </c>
      <c r="C13" s="26" t="inlineStr">
        <is>
          <t>+1 855-951-0100</t>
        </is>
      </c>
      <c r="D13" s="25" t="inlineStr">
        <is>
          <t>http://www.freeflorooter.com/</t>
        </is>
      </c>
      <c r="E13" s="26" t="n">
        <v>5</v>
      </c>
      <c r="F13" s="26" t="n">
        <v>590</v>
      </c>
      <c r="G13" s="26" t="inlineStr">
        <is>
          <t>YES</t>
        </is>
      </c>
      <c r="H13" s="26" t="inlineStr">
        <is>
          <t>TIER 3</t>
        </is>
      </c>
      <c r="I13" s="25" t="n"/>
      <c r="J13" s="26" t="n"/>
      <c r="K13" s="27" t="n"/>
    </row>
    <row r="14">
      <c r="A14" s="40" t="inlineStr">
        <is>
          <t>VHM Plumbing</t>
        </is>
      </c>
      <c r="B14" s="45" t="inlineStr">
        <is>
          <t>Pasadena, CA</t>
        </is>
      </c>
      <c r="C14" s="45" t="inlineStr">
        <is>
          <t>+1 626-746-5732</t>
        </is>
      </c>
      <c r="D14" s="39" t="inlineStr">
        <is>
          <t>http://vhmplumbing.com/</t>
        </is>
      </c>
      <c r="E14" s="45" t="n">
        <v>5</v>
      </c>
      <c r="F14" s="45" t="n">
        <v>73</v>
      </c>
      <c r="G14" s="45" t="inlineStr">
        <is>
          <t>NO</t>
        </is>
      </c>
      <c r="H14" s="45" t="inlineStr">
        <is>
          <t>TIER 1 - HOT</t>
        </is>
      </c>
      <c r="I14" s="40" t="inlineStr">
        <is>
          <t>Cons:
One Page website, 
No images about team or certifications on site
Not really auto quoting as they have to send a message and someone has to answer on their side.
Placement of the components and image son site.
Pros:
Have google reviews that they are leveraging</t>
        </is>
      </c>
      <c r="J14" s="45" t="n"/>
      <c r="K14" s="46" t="n"/>
    </row>
    <row r="15">
      <c r="A15" s="34" t="inlineStr">
        <is>
          <t>Super Duper Pros</t>
        </is>
      </c>
      <c r="B15" s="32" t="inlineStr">
        <is>
          <t>Pasadena, CA</t>
        </is>
      </c>
      <c r="C15" s="32" t="inlineStr">
        <is>
          <t>+1 213-224-7949</t>
        </is>
      </c>
      <c r="D15" s="33" t="inlineStr">
        <is>
          <t>https://www.superduperpros.com/</t>
        </is>
      </c>
      <c r="E15" s="32" t="n">
        <v>4.8</v>
      </c>
      <c r="F15" s="32" t="n">
        <v>34</v>
      </c>
      <c r="G15" s="32" t="inlineStr">
        <is>
          <t>NO</t>
        </is>
      </c>
      <c r="H15" s="32" t="inlineStr">
        <is>
          <t>TIER 1 - HOT</t>
        </is>
      </c>
      <c r="I15" s="34" t="n"/>
      <c r="J15" s="32" t="n"/>
      <c r="K15" s="35" t="n"/>
      <c r="L15" s="31" t="n"/>
      <c r="M15" s="31" t="n"/>
      <c r="N15" s="31" t="n"/>
      <c r="O15" s="31" t="n"/>
      <c r="P15" s="31" t="n"/>
      <c r="Q15" s="31" t="n"/>
      <c r="R15" s="31" t="n"/>
      <c r="S15" s="31" t="n"/>
      <c r="T15" s="31" t="n"/>
      <c r="U15" s="31" t="n"/>
      <c r="V15" s="31" t="n"/>
      <c r="W15" s="31" t="n"/>
      <c r="X15" s="31" t="n"/>
      <c r="Y15" s="31" t="n"/>
      <c r="Z15" s="31" t="n"/>
      <c r="AA15" s="31" t="n"/>
    </row>
    <row r="16">
      <c r="A16" s="34" t="inlineStr">
        <is>
          <t>The Sewer Company</t>
        </is>
      </c>
      <c r="B16" s="32" t="inlineStr">
        <is>
          <t>Pasadena, CA</t>
        </is>
      </c>
      <c r="C16" s="32" t="inlineStr">
        <is>
          <t>+1 626-900-1815</t>
        </is>
      </c>
      <c r="D16" s="33" t="inlineStr">
        <is>
          <t>http://thesewerco.com/</t>
        </is>
      </c>
      <c r="E16" s="32" t="n">
        <v>4.9</v>
      </c>
      <c r="F16" s="32" t="n">
        <v>216</v>
      </c>
      <c r="G16" s="32" t="inlineStr">
        <is>
          <t>NO</t>
        </is>
      </c>
      <c r="H16" s="32" t="inlineStr">
        <is>
          <t>TIER 1 - HOT</t>
        </is>
      </c>
      <c r="I16" s="34" t="n"/>
      <c r="J16" s="32" t="n"/>
      <c r="K16" s="35" t="n"/>
      <c r="L16" s="31" t="n"/>
      <c r="M16" s="31" t="n"/>
      <c r="N16" s="31" t="n"/>
      <c r="O16" s="31" t="n"/>
      <c r="P16" s="31" t="n"/>
      <c r="Q16" s="31" t="n"/>
      <c r="R16" s="31" t="n"/>
      <c r="S16" s="31" t="n"/>
      <c r="T16" s="31" t="n"/>
      <c r="U16" s="31" t="n"/>
      <c r="V16" s="31" t="n"/>
      <c r="W16" s="31" t="n"/>
      <c r="X16" s="31" t="n"/>
      <c r="Y16" s="31" t="n"/>
      <c r="Z16" s="31" t="n"/>
      <c r="AA16" s="31" t="n"/>
    </row>
    <row r="17">
      <c r="A17" s="34" t="inlineStr">
        <is>
          <t>Plumbing Professionals</t>
        </is>
      </c>
      <c r="B17" s="32" t="inlineStr">
        <is>
          <t>Pasadena, CA</t>
        </is>
      </c>
      <c r="C17" s="32" t="inlineStr">
        <is>
          <t>+1 626-429-5378</t>
        </is>
      </c>
      <c r="D17" s="33" t="inlineStr">
        <is>
          <t>https://theplumbingprofessionals.com/?utm_source=google&amp;utm_medium=local&amp;utm_campaign=1&amp;utm_content=primary</t>
        </is>
      </c>
      <c r="E17" s="32" t="n">
        <v>5</v>
      </c>
      <c r="F17" s="32" t="n">
        <v>24</v>
      </c>
      <c r="G17" s="32" t="inlineStr">
        <is>
          <t>NO</t>
        </is>
      </c>
      <c r="H17" s="32" t="inlineStr">
        <is>
          <t>TIER 1 - HOT</t>
        </is>
      </c>
      <c r="I17" s="34" t="n"/>
      <c r="J17" s="32" t="n"/>
      <c r="K17" s="35" t="n"/>
      <c r="L17" s="31" t="n"/>
      <c r="M17" s="31" t="n"/>
      <c r="N17" s="31" t="n"/>
      <c r="O17" s="31" t="n"/>
      <c r="P17" s="31" t="n"/>
      <c r="Q17" s="31" t="n"/>
      <c r="R17" s="31" t="n"/>
      <c r="S17" s="31" t="n"/>
      <c r="T17" s="31" t="n"/>
      <c r="U17" s="31" t="n"/>
      <c r="V17" s="31" t="n"/>
      <c r="W17" s="31" t="n"/>
      <c r="X17" s="31" t="n"/>
      <c r="Y17" s="31" t="n"/>
      <c r="Z17" s="31" t="n"/>
      <c r="AA17" s="31" t="n"/>
    </row>
    <row r="18">
      <c r="A18" s="34" t="inlineStr">
        <is>
          <t>Static Plumbing Services Pasadena</t>
        </is>
      </c>
      <c r="B18" s="32" t="inlineStr">
        <is>
          <t>Pasadena, CA</t>
        </is>
      </c>
      <c r="C18" s="32" t="inlineStr">
        <is>
          <t>+1 855-225-5162</t>
        </is>
      </c>
      <c r="D18" s="33" t="inlineStr">
        <is>
          <t>https://locksmithpasadena.club/</t>
        </is>
      </c>
      <c r="E18" s="32" t="n">
        <v>4.8</v>
      </c>
      <c r="F18" s="32" t="n">
        <v>41</v>
      </c>
      <c r="G18" s="32" t="inlineStr">
        <is>
          <t>NO</t>
        </is>
      </c>
      <c r="H18" s="32" t="inlineStr">
        <is>
          <t>TIER 1 - HOT</t>
        </is>
      </c>
      <c r="I18" s="34" t="n"/>
      <c r="J18" s="32" t="n"/>
      <c r="K18" s="35" t="n"/>
      <c r="L18" s="31" t="n"/>
      <c r="M18" s="31" t="n"/>
      <c r="N18" s="31" t="n"/>
      <c r="O18" s="31" t="n"/>
      <c r="P18" s="31" t="n"/>
      <c r="Q18" s="31" t="n"/>
      <c r="R18" s="31" t="n"/>
      <c r="S18" s="31" t="n"/>
      <c r="T18" s="31" t="n"/>
      <c r="U18" s="31" t="n"/>
      <c r="V18" s="31" t="n"/>
      <c r="W18" s="31" t="n"/>
      <c r="X18" s="31" t="n"/>
      <c r="Y18" s="31" t="n"/>
      <c r="Z18" s="31" t="n"/>
      <c r="AA18" s="31" t="n"/>
    </row>
    <row r="19">
      <c r="A19" s="34" t="inlineStr">
        <is>
          <t>TONY THE PLUMBER</t>
        </is>
      </c>
      <c r="B19" s="32" t="inlineStr">
        <is>
          <t>Pasadena, CA</t>
        </is>
      </c>
      <c r="C19" s="32" t="inlineStr">
        <is>
          <t>+1 877-240-7654</t>
        </is>
      </c>
      <c r="D19" s="33" t="inlineStr">
        <is>
          <t>http://tonytheplumbercompany.com/</t>
        </is>
      </c>
      <c r="E19" s="32" t="n">
        <v>4.7</v>
      </c>
      <c r="F19" s="32" t="n">
        <v>25</v>
      </c>
      <c r="G19" s="32" t="inlineStr">
        <is>
          <t>NO</t>
        </is>
      </c>
      <c r="H19" s="32" t="inlineStr">
        <is>
          <t>TIER 1 - HOT</t>
        </is>
      </c>
      <c r="I19" s="34" t="n"/>
      <c r="J19" s="32" t="n"/>
      <c r="K19" s="35" t="n"/>
      <c r="L19" s="31" t="n"/>
      <c r="M19" s="31" t="n"/>
      <c r="N19" s="31" t="n"/>
      <c r="O19" s="31" t="n"/>
      <c r="P19" s="31" t="n"/>
      <c r="Q19" s="31" t="n"/>
      <c r="R19" s="31" t="n"/>
      <c r="S19" s="31" t="n"/>
      <c r="T19" s="31" t="n"/>
      <c r="U19" s="31" t="n"/>
      <c r="V19" s="31" t="n"/>
      <c r="W19" s="31" t="n"/>
      <c r="X19" s="31" t="n"/>
      <c r="Y19" s="31" t="n"/>
      <c r="Z19" s="31" t="n"/>
      <c r="AA19" s="31" t="n"/>
    </row>
    <row r="20">
      <c r="A20" s="40" t="inlineStr">
        <is>
          <t>1 Day Rooter and Plumbing</t>
        </is>
      </c>
      <c r="B20" s="45" t="inlineStr">
        <is>
          <t>Pasadena, CA</t>
        </is>
      </c>
      <c r="C20" s="45" t="inlineStr">
        <is>
          <t>+1 626-702-0202</t>
        </is>
      </c>
      <c r="D20" s="39" t="inlineStr">
        <is>
          <t>https://1dayrooterandplumbing.com/?utm_campaign=gmb</t>
        </is>
      </c>
      <c r="E20" s="45" t="n">
        <v>5</v>
      </c>
      <c r="F20" s="45" t="n">
        <v>72</v>
      </c>
      <c r="G20" s="45" t="inlineStr">
        <is>
          <t>NO</t>
        </is>
      </c>
      <c r="H20" s="45" t="inlineStr">
        <is>
          <t>TIER 1 - HOT</t>
        </is>
      </c>
      <c r="I20" s="40" t="inlineStr">
        <is>
          <t xml:space="preserve">Pro:
They have quoting and also tust badges
Very indepth website
Cons:
Placement and alignment  of items like FAQ and also the paragraphs
Stock images, The reviews are not google or facebook reviews
No trust badges.
</t>
        </is>
      </c>
      <c r="J20" s="45" t="n"/>
      <c r="K20" s="46" t="n"/>
    </row>
    <row r="21">
      <c r="A21" s="42" t="inlineStr">
        <is>
          <t>Merry Plumbing</t>
        </is>
      </c>
      <c r="B21" s="43" t="inlineStr">
        <is>
          <t>Pasadena, CA</t>
        </is>
      </c>
      <c r="C21" s="43" t="inlineStr">
        <is>
          <t>+1 626-414-5583</t>
        </is>
      </c>
      <c r="D21" s="42" t="inlineStr">
        <is>
          <t>https://www.merryplumbing.com/</t>
        </is>
      </c>
      <c r="E21" s="43" t="n">
        <v>5</v>
      </c>
      <c r="F21" s="43" t="n">
        <v>664</v>
      </c>
      <c r="G21" s="43" t="inlineStr">
        <is>
          <t>NO</t>
        </is>
      </c>
      <c r="H21" s="43" t="inlineStr">
        <is>
          <t>TIER 2</t>
        </is>
      </c>
      <c r="I21" s="42" t="n"/>
      <c r="J21" s="43" t="n"/>
      <c r="K21" s="44" t="n"/>
    </row>
    <row r="22">
      <c r="A22" s="40" t="inlineStr">
        <is>
          <t>Highland Plumbing</t>
        </is>
      </c>
      <c r="B22" s="45" t="inlineStr">
        <is>
          <t>Pasadena, CA</t>
        </is>
      </c>
      <c r="C22" s="45" t="inlineStr">
        <is>
          <t>+1 818-636-9334</t>
        </is>
      </c>
      <c r="D22" s="40" t="n"/>
      <c r="E22" s="45" t="n">
        <v>5</v>
      </c>
      <c r="F22" s="45" t="n">
        <v>51</v>
      </c>
      <c r="G22" s="45" t="inlineStr">
        <is>
          <t>NO</t>
        </is>
      </c>
      <c r="H22" s="45" t="inlineStr">
        <is>
          <t>TIER 1 - HOT</t>
        </is>
      </c>
      <c r="I22" s="40" t="inlineStr">
        <is>
          <t>No website</t>
        </is>
      </c>
      <c r="J22" s="45" t="n"/>
      <c r="K22" s="46" t="n"/>
    </row>
    <row r="23">
      <c r="A23" s="42" t="inlineStr">
        <is>
          <t>EZ Plumbing</t>
        </is>
      </c>
      <c r="B23" s="43" t="inlineStr">
        <is>
          <t>Pasadena, CA</t>
        </is>
      </c>
      <c r="C23" s="43" t="inlineStr">
        <is>
          <t>+1 818-908-2170</t>
        </is>
      </c>
      <c r="D23" s="42" t="n"/>
      <c r="E23" s="43" t="n">
        <v>4.3</v>
      </c>
      <c r="F23" s="43" t="n">
        <v>44</v>
      </c>
      <c r="G23" s="43" t="inlineStr">
        <is>
          <t>NO</t>
        </is>
      </c>
      <c r="H23" s="43" t="inlineStr">
        <is>
          <t>TIER 2</t>
        </is>
      </c>
      <c r="I23" s="42" t="n"/>
      <c r="J23" s="43" t="n"/>
      <c r="K23" s="44" t="n"/>
    </row>
    <row r="24">
      <c r="A24" s="42" t="inlineStr">
        <is>
          <t>Hicks Plumbing Technologies</t>
        </is>
      </c>
      <c r="B24" s="43" t="inlineStr">
        <is>
          <t>Pasadena, CA</t>
        </is>
      </c>
      <c r="C24" s="43" t="inlineStr">
        <is>
          <t>+1 818-652-9897</t>
        </is>
      </c>
      <c r="D24" s="42" t="inlineStr">
        <is>
          <t>http://www.hicksplumbingpasadena.com/contact</t>
        </is>
      </c>
      <c r="E24" s="43" t="n">
        <v>5</v>
      </c>
      <c r="F24" s="43" t="n">
        <v>3</v>
      </c>
      <c r="G24" s="43" t="inlineStr">
        <is>
          <t>NO</t>
        </is>
      </c>
      <c r="H24" s="43" t="inlineStr">
        <is>
          <t>TIER 2</t>
        </is>
      </c>
      <c r="I24" s="42" t="n"/>
      <c r="J24" s="43" t="n"/>
      <c r="K24" s="44" t="n"/>
    </row>
    <row r="25">
      <c r="A25" s="40" t="inlineStr">
        <is>
          <t>Keithley Plumbing</t>
        </is>
      </c>
      <c r="B25" s="45" t="inlineStr">
        <is>
          <t>Pasadena, CA</t>
        </is>
      </c>
      <c r="C25" s="45" t="inlineStr">
        <is>
          <t>+1 626-449-0387</t>
        </is>
      </c>
      <c r="D25" s="39" t="inlineStr">
        <is>
          <t>http://www.keithleyplumbing.com/</t>
        </is>
      </c>
      <c r="E25" s="45" t="n">
        <v>5</v>
      </c>
      <c r="F25" s="45" t="n">
        <v>8</v>
      </c>
      <c r="G25" s="45" t="inlineStr">
        <is>
          <t>NO</t>
        </is>
      </c>
      <c r="H25" s="45" t="inlineStr">
        <is>
          <t>TIER 1 - HOT</t>
        </is>
      </c>
      <c r="I25" s="40" t="inlineStr">
        <is>
          <t>Pro:
They have a website as well as some reviews, they have very little reviews.
Very family oriented as it si family owned. Their whole business revolves around family.
Cons:
Have alot of text and reviews are hard coded, No reviews from google mybusiuness oage pulled in. Google my business page very desolate and empty.
No images of the team,</t>
        </is>
      </c>
      <c r="J25" s="45" t="inlineStr">
        <is>
          <t>Dan</t>
        </is>
      </c>
      <c r="K25" s="46" t="n"/>
    </row>
    <row r="26">
      <c r="A26" s="40" t="inlineStr">
        <is>
          <t>Advantage Plumbing &amp; Rooter</t>
        </is>
      </c>
      <c r="B26" s="45" t="inlineStr">
        <is>
          <t>Pasadena, CA</t>
        </is>
      </c>
      <c r="C26" s="45" t="inlineStr">
        <is>
          <t>+1 626-956-3708</t>
        </is>
      </c>
      <c r="D26" s="39" t="inlineStr">
        <is>
          <t>https://advantageplumbingrooter.com/</t>
        </is>
      </c>
      <c r="E26" s="45" t="n">
        <v>5</v>
      </c>
      <c r="F26" s="45" t="n">
        <v>320</v>
      </c>
      <c r="G26" s="45" t="inlineStr">
        <is>
          <t>NO</t>
        </is>
      </c>
      <c r="H26" s="45" t="inlineStr">
        <is>
          <t>TIER 1 - HOT</t>
        </is>
      </c>
      <c r="I26" s="40" t="inlineStr">
        <is>
          <t xml:space="preserve">Pro:
Shows workers and people working,
All the correct ads and information present
Cons: 
Layout of the posts and content,
Appointment booking is reliant on call back and communication, could miss a lead.
</t>
        </is>
      </c>
      <c r="J26" s="45" t="n"/>
      <c r="K26" s="46" t="n"/>
    </row>
    <row r="27">
      <c r="A27" s="40" t="inlineStr">
        <is>
          <t>QP Plumbing</t>
        </is>
      </c>
      <c r="B27" s="45" t="inlineStr">
        <is>
          <t>Pasadena, CA</t>
        </is>
      </c>
      <c r="C27" s="45" t="inlineStr">
        <is>
          <t>+1 626-366-9797</t>
        </is>
      </c>
      <c r="D27" s="39" t="inlineStr">
        <is>
          <t>https://qpplumbing.net/</t>
        </is>
      </c>
      <c r="E27" s="45" t="n">
        <v>5</v>
      </c>
      <c r="F27" s="45" t="n">
        <v>113</v>
      </c>
      <c r="G27" s="45" t="inlineStr">
        <is>
          <t>NO</t>
        </is>
      </c>
      <c r="H27" s="45" t="inlineStr">
        <is>
          <t>TIER 1 - HOT</t>
        </is>
      </c>
      <c r="I27" s="40" t="inlineStr">
        <is>
          <t>Pro:
Site has alot of good content, vieos imgaes of team
The work done and certifications
Cons:
Layout of all the content and posts,the graphics and flow of the website seems jankie
Gallery could use some work on explaining the work more, insight from team.
Facebook has no following,
They also do not leverage their reviews</t>
        </is>
      </c>
      <c r="J27" s="45" t="n"/>
      <c r="K27" s="46" t="n"/>
    </row>
    <row r="28">
      <c r="A28" s="34" t="inlineStr">
        <is>
          <t>Papa's Plumbing Inc.</t>
        </is>
      </c>
      <c r="B28" s="32" t="inlineStr">
        <is>
          <t>Pasadena, CA</t>
        </is>
      </c>
      <c r="C28" s="32" t="inlineStr">
        <is>
          <t>+1 626-243-3689</t>
        </is>
      </c>
      <c r="D28" s="33" t="inlineStr">
        <is>
          <t>https://www.papatheplumber.com/?utm_source=gmb&amp;utm_medium=referral</t>
        </is>
      </c>
      <c r="E28" s="32" t="n">
        <v>4.7</v>
      </c>
      <c r="F28" s="32" t="n">
        <v>137</v>
      </c>
      <c r="G28" s="32" t="inlineStr">
        <is>
          <t>NO</t>
        </is>
      </c>
      <c r="H28" s="32" t="inlineStr">
        <is>
          <t>TIER 1 - HOT</t>
        </is>
      </c>
      <c r="I28" s="34" t="n"/>
      <c r="J28" s="32" t="n"/>
      <c r="K28" s="35" t="n"/>
      <c r="L28" s="31" t="n"/>
      <c r="M28" s="31" t="n"/>
      <c r="N28" s="31" t="n"/>
      <c r="O28" s="31" t="n"/>
      <c r="P28" s="31" t="n"/>
      <c r="Q28" s="31" t="n"/>
      <c r="R28" s="31" t="n"/>
      <c r="S28" s="31" t="n"/>
      <c r="T28" s="31" t="n"/>
      <c r="U28" s="31" t="n"/>
      <c r="V28" s="31" t="n"/>
      <c r="W28" s="31" t="n"/>
      <c r="X28" s="31" t="n"/>
      <c r="Y28" s="31" t="n"/>
      <c r="Z28" s="31" t="n"/>
      <c r="AA28" s="31" t="n"/>
    </row>
    <row r="29">
      <c r="A29" s="34" t="inlineStr">
        <is>
          <t>Plumbing Wholesale Outlet</t>
        </is>
      </c>
      <c r="B29" s="32" t="inlineStr">
        <is>
          <t>Pasadena, CA</t>
        </is>
      </c>
      <c r="C29" s="32" t="inlineStr">
        <is>
          <t>+1 626-796-3871</t>
        </is>
      </c>
      <c r="D29" s="33" t="inlineStr">
        <is>
          <t>https://www.mypwo.com/</t>
        </is>
      </c>
      <c r="E29" s="32" t="n">
        <v>4.7</v>
      </c>
      <c r="F29" s="32" t="n">
        <v>30</v>
      </c>
      <c r="G29" s="32" t="inlineStr">
        <is>
          <t>NO</t>
        </is>
      </c>
      <c r="H29" s="32" t="inlineStr">
        <is>
          <t>TIER 1 - HOT</t>
        </is>
      </c>
      <c r="I29" s="34" t="inlineStr">
        <is>
          <t xml:space="preserve">Cons:
Very old and outdated website, last updated in 2019 so are they still in business
</t>
        </is>
      </c>
      <c r="J29" s="32" t="n"/>
      <c r="K29" s="35" t="n"/>
      <c r="L29" s="31" t="n"/>
      <c r="M29" s="31" t="n"/>
      <c r="N29" s="31" t="n"/>
      <c r="O29" s="31" t="n"/>
      <c r="P29" s="31" t="n"/>
      <c r="Q29" s="31" t="n"/>
      <c r="R29" s="31" t="n"/>
      <c r="S29" s="31" t="n"/>
      <c r="T29" s="31" t="n"/>
      <c r="U29" s="31" t="n"/>
      <c r="V29" s="31" t="n"/>
      <c r="W29" s="31" t="n"/>
      <c r="X29" s="31" t="n"/>
      <c r="Y29" s="31" t="n"/>
      <c r="Z29" s="31" t="n"/>
      <c r="AA29" s="31" t="n"/>
    </row>
    <row r="30">
      <c r="A30" s="25" t="inlineStr">
        <is>
          <t>Pasadena Plumbing Inc</t>
        </is>
      </c>
      <c r="B30" s="26" t="inlineStr">
        <is>
          <t>Pasadena, CA</t>
        </is>
      </c>
      <c r="C30" s="26" t="inlineStr">
        <is>
          <t>+1 866-203-8297</t>
        </is>
      </c>
      <c r="D30" s="25" t="inlineStr">
        <is>
          <t>http://pasadenaplumbinginc.us/</t>
        </is>
      </c>
      <c r="E30" s="26" t="n"/>
      <c r="F30" s="26" t="n"/>
      <c r="G30" s="26" t="inlineStr">
        <is>
          <t>NO</t>
        </is>
      </c>
      <c r="H30" s="26" t="inlineStr">
        <is>
          <t>TIER 3</t>
        </is>
      </c>
      <c r="I30" s="25" t="n"/>
      <c r="J30" s="26" t="n"/>
      <c r="K30" s="27" t="n"/>
    </row>
    <row r="31">
      <c r="A31" s="40" t="inlineStr">
        <is>
          <t>Sierra Pacific Plumbing</t>
        </is>
      </c>
      <c r="B31" s="45" t="inlineStr">
        <is>
          <t>Pasadena, CA</t>
        </is>
      </c>
      <c r="C31" s="45" t="inlineStr">
        <is>
          <t>+1 626-457-8845</t>
        </is>
      </c>
      <c r="D31" s="39" t="inlineStr">
        <is>
          <t>http://www.sierrapacificplumbing.com/</t>
        </is>
      </c>
      <c r="E31" s="45" t="n">
        <v>5</v>
      </c>
      <c r="F31" s="45" t="n">
        <v>18</v>
      </c>
      <c r="G31" s="45" t="inlineStr">
        <is>
          <t>NO</t>
        </is>
      </c>
      <c r="H31" s="45" t="inlineStr">
        <is>
          <t>TIER 1 - HOT</t>
        </is>
      </c>
      <c r="I31" s="40" t="inlineStr">
        <is>
          <t>Cons:
Have a review page but it is not the first thing linked.
No trust indication like badges or team displayed, you do not know who is coming ot your house.
About page very desolote, Do not know what the team are, only showcasing work
Could show other things.</t>
        </is>
      </c>
      <c r="J31" s="45" t="n"/>
      <c r="K31" s="46" t="n"/>
    </row>
    <row r="32">
      <c r="A32" s="42" t="inlineStr">
        <is>
          <t>Pershing Plumbing - Pasadena Plumbing Company</t>
        </is>
      </c>
      <c r="B32" s="43" t="inlineStr">
        <is>
          <t>Pasadena, CA</t>
        </is>
      </c>
      <c r="C32" s="43" t="inlineStr">
        <is>
          <t>+1 310-623-2704</t>
        </is>
      </c>
      <c r="D32" s="42" t="inlineStr">
        <is>
          <t>https://pershingplumbing.com/</t>
        </is>
      </c>
      <c r="E32" s="43" t="n">
        <v>5</v>
      </c>
      <c r="F32" s="43" t="n">
        <v>4</v>
      </c>
      <c r="G32" s="43" t="inlineStr">
        <is>
          <t>NO</t>
        </is>
      </c>
      <c r="H32" s="43" t="inlineStr">
        <is>
          <t>TIER 2</t>
        </is>
      </c>
      <c r="I32" s="42" t="n"/>
      <c r="J32" s="43" t="n"/>
      <c r="K32" s="44" t="n"/>
    </row>
    <row r="33">
      <c r="A33" s="34" t="inlineStr">
        <is>
          <t>New Generation Plumbing</t>
        </is>
      </c>
      <c r="B33" s="32" t="inlineStr">
        <is>
          <t>Pasadena, CA</t>
        </is>
      </c>
      <c r="C33" s="32" t="inlineStr">
        <is>
          <t>+1 626-385-1113</t>
        </is>
      </c>
      <c r="D33" s="34" t="n"/>
      <c r="E33" s="32" t="n">
        <v>5</v>
      </c>
      <c r="F33" s="32" t="n">
        <v>19</v>
      </c>
      <c r="G33" s="32" t="inlineStr">
        <is>
          <t>NO</t>
        </is>
      </c>
      <c r="H33" s="32" t="inlineStr">
        <is>
          <t>TIER 1 - HOT</t>
        </is>
      </c>
      <c r="I33" s="34" t="n"/>
      <c r="J33" s="32" t="n"/>
      <c r="K33" s="35" t="n"/>
      <c r="L33" s="31" t="n"/>
      <c r="M33" s="31" t="n"/>
      <c r="N33" s="31" t="n"/>
      <c r="O33" s="31" t="n"/>
      <c r="P33" s="31" t="n"/>
      <c r="Q33" s="31" t="n"/>
      <c r="R33" s="31" t="n"/>
      <c r="S33" s="31" t="n"/>
      <c r="T33" s="31" t="n"/>
      <c r="U33" s="31" t="n"/>
      <c r="V33" s="31" t="n"/>
      <c r="W33" s="31" t="n"/>
      <c r="X33" s="31" t="n"/>
      <c r="Y33" s="31" t="n"/>
      <c r="Z33" s="31" t="n"/>
      <c r="AA33" s="31" t="n"/>
    </row>
    <row r="34">
      <c r="A34" s="34" t="inlineStr">
        <is>
          <t>Free Flo Rooter</t>
        </is>
      </c>
      <c r="B34" s="32" t="inlineStr">
        <is>
          <t>Pasadena, CA</t>
        </is>
      </c>
      <c r="C34" s="32" t="inlineStr">
        <is>
          <t>+1 818-934-1144</t>
        </is>
      </c>
      <c r="D34" s="33" t="inlineStr">
        <is>
          <t>http://www.freeflorooter.com/</t>
        </is>
      </c>
      <c r="E34" s="32" t="n">
        <v>4.9</v>
      </c>
      <c r="F34" s="32" t="n">
        <v>269</v>
      </c>
      <c r="G34" s="32" t="inlineStr">
        <is>
          <t>YES</t>
        </is>
      </c>
      <c r="H34" s="32" t="inlineStr">
        <is>
          <t>TIER 3</t>
        </is>
      </c>
      <c r="I34" s="34" t="n"/>
      <c r="J34" s="32" t="n"/>
      <c r="K34" s="35" t="n"/>
      <c r="L34" s="31" t="n"/>
      <c r="M34" s="31" t="n"/>
      <c r="N34" s="31" t="n"/>
      <c r="O34" s="31" t="n"/>
      <c r="P34" s="31" t="n"/>
      <c r="Q34" s="31" t="n"/>
      <c r="R34" s="31" t="n"/>
      <c r="S34" s="31" t="n"/>
      <c r="T34" s="31" t="n"/>
      <c r="U34" s="31" t="n"/>
      <c r="V34" s="31" t="n"/>
      <c r="W34" s="31" t="n"/>
      <c r="X34" s="31" t="n"/>
      <c r="Y34" s="31" t="n"/>
      <c r="Z34" s="31" t="n"/>
      <c r="AA34" s="31" t="n"/>
    </row>
    <row r="35">
      <c r="A35" s="40" t="inlineStr">
        <is>
          <t>Cappello Plumbing</t>
        </is>
      </c>
      <c r="B35" s="45" t="inlineStr">
        <is>
          <t>Pasadena, CA</t>
        </is>
      </c>
      <c r="C35" s="45" t="inlineStr">
        <is>
          <t>+1 626-672-6213</t>
        </is>
      </c>
      <c r="D35" s="39" t="inlineStr">
        <is>
          <t>http://cappelloplumbing.com/</t>
        </is>
      </c>
      <c r="E35" s="45" t="n">
        <v>4.7</v>
      </c>
      <c r="F35" s="45" t="n">
        <v>30</v>
      </c>
      <c r="G35" s="45" t="inlineStr">
        <is>
          <t>NO</t>
        </is>
      </c>
      <c r="H35" s="45" t="inlineStr">
        <is>
          <t>TIER 1 - HOT</t>
        </is>
      </c>
      <c r="I35" s="40" t="inlineStr">
        <is>
          <t>Pro: 
Cons:
Have not posted in a while so are they still active,
It is a wordPresswebsite so could do the redesign on Next.Js keeping the backend on WordPress</t>
        </is>
      </c>
      <c r="J35" s="45" t="n"/>
      <c r="K35" s="46" t="n"/>
    </row>
    <row r="36">
      <c r="A36" s="42" t="inlineStr">
        <is>
          <t>Red Lilly Plumbing</t>
        </is>
      </c>
      <c r="B36" s="43" t="inlineStr">
        <is>
          <t>Pasadena, CA</t>
        </is>
      </c>
      <c r="C36" s="43" t="inlineStr">
        <is>
          <t>+1 323-319-4102</t>
        </is>
      </c>
      <c r="D36" s="47" t="inlineStr">
        <is>
          <t>https://www.redlillyplumbing.com/</t>
        </is>
      </c>
      <c r="E36" s="43" t="n">
        <v>4.8</v>
      </c>
      <c r="F36" s="43" t="n">
        <v>518</v>
      </c>
      <c r="G36" s="43" t="inlineStr">
        <is>
          <t>NO</t>
        </is>
      </c>
      <c r="H36" s="43" t="inlineStr">
        <is>
          <t>TIER 2</t>
        </is>
      </c>
      <c r="I36" s="42" t="n"/>
      <c r="J36" s="43" t="n"/>
      <c r="K36" s="44" t="n"/>
    </row>
    <row r="37">
      <c r="A37" s="40" t="inlineStr">
        <is>
          <t>Verdugo Plumbing</t>
        </is>
      </c>
      <c r="B37" s="45" t="inlineStr">
        <is>
          <t>Pasadena, CA</t>
        </is>
      </c>
      <c r="C37" s="45" t="inlineStr">
        <is>
          <t>+1 818-869-9900</t>
        </is>
      </c>
      <c r="D37" s="40" t="inlineStr">
        <is>
          <t>http://www.verdugoplumbing.com/</t>
        </is>
      </c>
      <c r="E37" s="45" t="n">
        <v>4.7</v>
      </c>
      <c r="F37" s="45" t="n">
        <v>25</v>
      </c>
      <c r="G37" s="45" t="inlineStr">
        <is>
          <t>NO</t>
        </is>
      </c>
      <c r="H37" s="45" t="inlineStr">
        <is>
          <t>TIER 1 - HOT</t>
        </is>
      </c>
      <c r="I37" s="40" t="inlineStr">
        <is>
          <t>Pros:
Has a clear CTA with both Call and Text options, coupon section (drain cleaning, senior, hydro jetting, first-time), full address + hours, license number visible, contact form with service type selector, service area list.
Cons:
No visible star rating or review count on homepage — Google review button just sends to external page, not shown inline.
No team intro or photos anywhere on homepage — feels anonymous.
Hero section has a large banner image with minimal useful text. "Trusted Partner" is generic.
Coupons are image-only (not readable text) — hard to engage with.
No social media links.</t>
        </is>
      </c>
      <c r="J37" s="45" t="n"/>
      <c r="K37" s="46" t="n"/>
    </row>
    <row r="38">
      <c r="A38" s="40" t="inlineStr">
        <is>
          <t>Right Price Rooter and Plumbing</t>
        </is>
      </c>
      <c r="B38" s="45" t="inlineStr">
        <is>
          <t>Pasadena, CA</t>
        </is>
      </c>
      <c r="C38" s="45" t="inlineStr">
        <is>
          <t>+1 866-766-8374</t>
        </is>
      </c>
      <c r="D38" s="40" t="inlineStr">
        <is>
          <t>http://rightpricerooter.com/</t>
        </is>
      </c>
      <c r="E38" s="45" t="n">
        <v>5</v>
      </c>
      <c r="F38" s="45" t="n">
        <v>48</v>
      </c>
      <c r="G38" s="45" t="inlineStr">
        <is>
          <t>NO</t>
        </is>
      </c>
      <c r="H38" s="45" t="inlineStr">
        <is>
          <t>TIER 1 - HOT</t>
        </is>
      </c>
      <c r="I38" s="40" t="inlineStr">
        <is>
          <t>Pros:
Client testimonials with full names (Ron Carev, Robert Staub), mentions 25-year warranty on major jobs (very unique), lists experience since 1992, links to Habitat for Humanity (community trust signal).
Cons:
Extremely outdated design — tables-based layout from circa 2012.
HGTV photos are unrelated to plumbing work — confusing.
Yelp/Twitter icons are tiny and dated, links are old.
No contact form visible.
No team photos or intro.
"Vote for us on Yelp" instead of showing actual review stars.
No visible star rating on homepage.
No address shown prominently.</t>
        </is>
      </c>
      <c r="J38" s="45" t="n"/>
      <c r="K38" s="46" t="n"/>
    </row>
    <row r="39">
      <c r="A39" s="40" t="inlineStr">
        <is>
          <t>Altadena Handyman LLC</t>
        </is>
      </c>
      <c r="B39" s="45" t="inlineStr">
        <is>
          <t>Pasadena, CA</t>
        </is>
      </c>
      <c r="C39" s="45" t="inlineStr">
        <is>
          <t>+1 626-240-9551</t>
        </is>
      </c>
      <c r="D39" s="40" t="inlineStr">
        <is>
          <t>http://www.altadenahandyman.com/</t>
        </is>
      </c>
      <c r="E39" s="45" t="n">
        <v>4.9</v>
      </c>
      <c r="F39" s="45" t="n">
        <v>46</v>
      </c>
      <c r="G39" s="45" t="inlineStr">
        <is>
          <t>NO</t>
        </is>
      </c>
      <c r="H39" s="45" t="inlineStr">
        <is>
          <t>TIER 1 - HOT</t>
        </is>
      </c>
      <c r="I39" s="40" t="inlineStr">
        <is>
          <t>Pros:
Before/after photo sliders are impressive — shows real completed projects.
License number displayed (#1025813), serving since 2015 shown.
FAQ section addresses confusion about business name.
Strong unique value prop: "From the Pipe to the Paint."
Testimonials with real names and cities (Isabel C., Janie S., Tim H.).
Service area pages per city.
Instagram and Facebook linked.
Cons:
Business name "Altadena Handyman" is confusing — doesn't say "plumbing" clearly.
120+ Yelp reviews linked off-site but not embedded or shown inline.
No license number prominent in hero.
No pricing or estimate range shown.
No visible star rating widget or Google review count on homepage.</t>
        </is>
      </c>
      <c r="J39" s="45" t="n"/>
      <c r="K39" s="46" t="n"/>
    </row>
    <row r="40">
      <c r="A40" s="40" t="inlineStr">
        <is>
          <t>PRI Plumbers and Rooters Inc</t>
        </is>
      </c>
      <c r="B40" s="45" t="inlineStr">
        <is>
          <t>Pasadena, CA</t>
        </is>
      </c>
      <c r="C40" s="45" t="inlineStr">
        <is>
          <t>+1 626-807-7717</t>
        </is>
      </c>
      <c r="D40" s="40" t="inlineStr">
        <is>
          <t>http://www.plumbersandrooters.com/</t>
        </is>
      </c>
      <c r="E40" s="45" t="n">
        <v>5</v>
      </c>
      <c r="F40" s="45" t="n">
        <v>12</v>
      </c>
      <c r="G40" s="45" t="inlineStr">
        <is>
          <t>NO</t>
        </is>
      </c>
      <c r="H40" s="45" t="inlineStr">
        <is>
          <t>TIER 1 - HOT</t>
        </is>
      </c>
      <c r="I40" s="40" t="inlineStr">
        <is>
          <t>Pros:
Clean modern design, full service list with images and descriptions, family-owned + 25 years mentioned, license number visible (#1055253), 24/7 emergency call prominent, contact form with service type selector.
Cons:
No testimonials or customer reviews visible anywhere on homepage.
No team photos or names — anonymous feel.
No pricing or coupons.
No social media links.
Hero section is minimal — just a van photo and tagline, no trust signals above the fold.
No star rating shown.</t>
        </is>
      </c>
      <c r="J40" s="45" t="n"/>
      <c r="K40" s="46" t="n"/>
    </row>
    <row r="41">
      <c r="A41" s="40" t="inlineStr">
        <is>
          <t>Target Plumber's</t>
        </is>
      </c>
      <c r="B41" s="45" t="inlineStr">
        <is>
          <t>Pasadena, CA</t>
        </is>
      </c>
      <c r="C41" s="45" t="inlineStr">
        <is>
          <t>+1 626-435-8261</t>
        </is>
      </c>
      <c r="D41" s="40" t="n"/>
      <c r="E41" s="45" t="n">
        <v>4.7</v>
      </c>
      <c r="F41" s="45" t="n">
        <v>7</v>
      </c>
      <c r="G41" s="45" t="inlineStr">
        <is>
          <t>NO</t>
        </is>
      </c>
      <c r="H41" s="45" t="inlineStr">
        <is>
          <t>TIER 1 - HOT</t>
        </is>
      </c>
      <c r="I41" s="40" t="inlineStr">
        <is>
          <t>No website found. Strong pitch angle — business has 4.7 stars and 7 reviews but no web presence to leverage.</t>
        </is>
      </c>
      <c r="J41" s="45" t="n"/>
      <c r="K41" s="46" t="n"/>
    </row>
    <row r="42">
      <c r="A42" s="40" t="inlineStr">
        <is>
          <t>ET Plumbing</t>
        </is>
      </c>
      <c r="B42" s="45" t="inlineStr">
        <is>
          <t>Pasadena, CA</t>
        </is>
      </c>
      <c r="C42" s="45" t="inlineStr">
        <is>
          <t>+1 818-266-0213</t>
        </is>
      </c>
      <c r="D42" s="40" t="inlineStr">
        <is>
          <t>https://etplumbingpros.com/</t>
        </is>
      </c>
      <c r="E42" s="45" t="n">
        <v>5</v>
      </c>
      <c r="F42" s="45" t="n">
        <v>29</v>
      </c>
      <c r="G42" s="45" t="inlineStr">
        <is>
          <t>NO</t>
        </is>
      </c>
      <c r="H42" s="45" t="inlineStr">
        <is>
          <t>TIER 1 - HOT</t>
        </is>
      </c>
      <c r="I42" s="40" t="inlineStr">
        <is>
          <t>Pros:
"Who We Are" section with team photo + 35 years experience.
Services listed with icons and brief descriptions.
Step-by-step "How We Work" section (builds trust).
"Why Choose Us" section with icon grid.
2 customer reviews with names (Sarah M., Jason R.).
Cons:
Only 2 reviews visible — no aggregate star count or review widget.
Reviews have no source badge (Google/Yelp) — feels unverified.
Hero banner is generic stock photo (not real plumbers/jobs).
No address shown anywhere.
No coupon or pricing section.
No social media links.
No license number visible.</t>
        </is>
      </c>
      <c r="J42" s="45" t="n"/>
      <c r="K42" s="46" t="n"/>
    </row>
    <row r="43">
      <c r="A43" s="40" t="inlineStr">
        <is>
          <t>Just Rooter and Plumbing</t>
        </is>
      </c>
      <c r="B43" s="45" t="inlineStr">
        <is>
          <t>Pasadena, CA</t>
        </is>
      </c>
      <c r="C43" s="45" t="inlineStr">
        <is>
          <t>+1 626-861-8709</t>
        </is>
      </c>
      <c r="D43" s="40" t="inlineStr">
        <is>
          <t>https://rooterandplumbingla.com/</t>
        </is>
      </c>
      <c r="E43" s="45" t="n">
        <v>5</v>
      </c>
      <c r="F43" s="45" t="n">
        <v>14</v>
      </c>
      <c r="G43" s="45" t="inlineStr">
        <is>
          <t>NO</t>
        </is>
      </c>
      <c r="H43" s="45" t="inlineStr">
        <is>
          <t>TIER 1 - HOT</t>
        </is>
      </c>
      <c r="I43" s="40" t="inlineStr">
        <is>
          <t>Pros:
Mentions honest/ethical pricing, free estimates, 24/7 emergency, workmanship warranty, locally owned and licensed.
Cons:
Extremely bare website — less than one page of content.
No images of work, team, or business.
No contact form — only phone number at the bottom.
No address visible.
No reviews or testimonials anywhere.
No services page or service list.
No social links or review platform badges.
Design looks like a placeholder site.</t>
        </is>
      </c>
      <c r="J43" s="45" t="n"/>
      <c r="K43" s="46" t="n"/>
    </row>
    <row r="44">
      <c r="A44" s="40" t="inlineStr">
        <is>
          <t>Thistle Plumbing</t>
        </is>
      </c>
      <c r="B44" s="45" t="inlineStr">
        <is>
          <t>Pasadena, CA</t>
        </is>
      </c>
      <c r="C44" s="45" t="inlineStr">
        <is>
          <t>+1 626-616-9353</t>
        </is>
      </c>
      <c r="D44" s="40" t="inlineStr">
        <is>
          <t>http://www.thistleplumbing.com/</t>
        </is>
      </c>
      <c r="E44" s="45" t="n">
        <v>4.6</v>
      </c>
      <c r="F44" s="45" t="n">
        <v>21</v>
      </c>
      <c r="G44" s="45" t="inlineStr">
        <is>
          <t>NO</t>
        </is>
      </c>
      <c r="H44" s="45" t="inlineStr">
        <is>
          <t>TIER 1 - HOT</t>
        </is>
      </c>
      <c r="I44" s="40" t="inlineStr">
        <is>
          <t>Pros:
Has direct pricing pages linked per service (Drain/Sewer, Water Heater, Water+Gas, Repair/Replace).
3 client testimonials with names (Daniel R., Manjeet S., Yee I.) and locations.
30 years experience mentioned.
Yelp CTA present.
Current promo visible ($2100 for 40-gal water heater install).
Cons:
Testimonial photos look like generic lifestyle stock images — not real customers.
No contact form — only a call button.
No license number visible on homepage.
No team photo or named professional in hero section.
Carousel design feels dated.
Reviews link to external Yelp instead of being shown inline.
Promo says "Only till July 30th" — appears permanently stale/expired.</t>
        </is>
      </c>
      <c r="J44" s="45" t="n"/>
      <c r="K44" s="46" t="n"/>
    </row>
    <row r="45">
      <c r="A45" s="40" t="inlineStr">
        <is>
          <t>The Plumbing Expert</t>
        </is>
      </c>
      <c r="B45" s="45" t="inlineStr">
        <is>
          <t>Pasadena, CA</t>
        </is>
      </c>
      <c r="C45" s="45" t="inlineStr">
        <is>
          <t>+1 626-737-2936</t>
        </is>
      </c>
      <c r="D45" s="40" t="inlineStr">
        <is>
          <t>http://aaltadenaplumber.com/</t>
        </is>
      </c>
      <c r="E45" s="45" t="n">
        <v>4.8</v>
      </c>
      <c r="F45" s="45" t="n">
        <v>49</v>
      </c>
      <c r="G45" s="45" t="inlineStr">
        <is>
          <t>NO</t>
        </is>
      </c>
      <c r="H45" s="45" t="inlineStr">
        <is>
          <t>TIER 1 - HOT</t>
        </is>
      </c>
      <c r="I45" s="40" t="inlineStr">
        <is>
          <t>Pros:
Lists many services including less-common ones (septic tank, backflow testing, trenchless).
24/7 emergency service highlighted.
Cons:
"Call demo plumbing website 45" error text left in live content — very unprofessional.
Outdated design (pre-2018 WordPress template).
No reviews or testimonials visible.
No team photos.
Uses "cheap plumbing" phrasing which damages trust.
No address shown.
No contact form — only a call CTA.
No social media links.
No license number on homepage.</t>
        </is>
      </c>
      <c r="J45" s="45" t="n"/>
      <c r="K45" s="46" t="n"/>
    </row>
    <row r="46">
      <c r="A46" s="40" t="inlineStr">
        <is>
          <t>RomaRooter Inc</t>
        </is>
      </c>
      <c r="B46" s="45" t="inlineStr">
        <is>
          <t>Pasadena, CA</t>
        </is>
      </c>
      <c r="C46" s="45" t="inlineStr">
        <is>
          <t>+1 626-705-8488</t>
        </is>
      </c>
      <c r="D46" s="40" t="inlineStr">
        <is>
          <t>http://romarooter.com/</t>
        </is>
      </c>
      <c r="E46" s="45" t="n">
        <v>5</v>
      </c>
      <c r="F46" s="45" t="n">
        <v>10</v>
      </c>
      <c r="G46" s="45" t="inlineStr">
        <is>
          <t>NO</t>
        </is>
      </c>
      <c r="H46" s="45" t="inlineStr">
        <is>
          <t>TIER 1 - HOT</t>
        </is>
      </c>
      <c r="I46" s="40" t="inlineStr">
        <is>
          <t>Pros:
Has dedicated pages: About Us, Services, Gallery, Reviews, Contact.
Cons:
Homepage scraped almost completely blank — only nav links and a reCAPTCHA loaded.
No visible content on the homepage at all (likely heavy JavaScript rendering issue).
Essentially invisible to anyone whose browser blocks JS.
No reviews, team info, or service descriptions shown.
No phone number or CTA visible on homepage.</t>
        </is>
      </c>
      <c r="J46" s="45" t="n"/>
      <c r="K46" s="46" t="n"/>
    </row>
    <row r="47">
      <c r="A47" s="40" t="inlineStr">
        <is>
          <t>King Rooter &amp; Hydrojet INC.</t>
        </is>
      </c>
      <c r="B47" s="45" t="inlineStr">
        <is>
          <t>Pasadena, CA</t>
        </is>
      </c>
      <c r="C47" s="45" t="inlineStr">
        <is>
          <t>+1 626-689-3031</t>
        </is>
      </c>
      <c r="D47" s="40" t="inlineStr">
        <is>
          <t>https://kingrooterhydrojet.com/</t>
        </is>
      </c>
      <c r="E47" s="45" t="n">
        <v>4.8</v>
      </c>
      <c r="F47" s="45" t="n">
        <v>20</v>
      </c>
      <c r="G47" s="45" t="inlineStr">
        <is>
          <t>NO</t>
        </is>
      </c>
      <c r="H47" s="45" t="inlineStr">
        <is>
          <t>TIER 1 - HOT</t>
        </is>
      </c>
      <c r="I47" s="40" t="inlineStr">
        <is>
          <t>Pros:
Specialized trenchless services described (pipe burst, sewer liner, epoxy, mole boring, camera inspection).
Has email + phone, social links (Facebook/Instagram), serves Pasadena/SGV.
Cons:
No testimonials or reviews anywhere.
No team photos or names — completely anonymous.
No pricing or coupons.
No license number visible.
Hero image is dark and uninviting.
No star rating or trust badge shown.
Contact info buried at the bottom of the page.</t>
        </is>
      </c>
      <c r="J47" s="45" t="n"/>
      <c r="K47" s="46" t="n"/>
    </row>
    <row r="48">
      <c r="A48" s="40" t="inlineStr">
        <is>
          <t>Rare Plumbing</t>
        </is>
      </c>
      <c r="B48" s="45" t="inlineStr">
        <is>
          <t>Pasadena, CA</t>
        </is>
      </c>
      <c r="C48" s="45" t="inlineStr">
        <is>
          <t>+1 747-306-1917</t>
        </is>
      </c>
      <c r="D48" s="40" t="inlineStr">
        <is>
          <t>http://rareplumbing.net/</t>
        </is>
      </c>
      <c r="E48" s="45" t="n">
        <v>5</v>
      </c>
      <c r="F48" s="45" t="n">
        <v>48</v>
      </c>
      <c r="G48" s="45" t="inlineStr">
        <is>
          <t>NO</t>
        </is>
      </c>
      <c r="H48" s="45" t="inlineStr">
        <is>
          <t>TIER 1 - HOT</t>
        </is>
      </c>
      <c r="I48" s="40" t="inlineStr">
        <is>
          <t>Website (rareplumbing.net) blocked all scraping — site may have strong bot protection or be behind a login. Unable to assess content. Manual review needed.</t>
        </is>
      </c>
      <c r="J48" s="45" t="n"/>
      <c r="K48" s="46" t="n"/>
    </row>
    <row r="49">
      <c r="A49" s="42" t="inlineStr">
        <is>
          <t>Pasadena CA Plumbers</t>
        </is>
      </c>
      <c r="B49" s="43" t="inlineStr">
        <is>
          <t>Pasadena, CA</t>
        </is>
      </c>
      <c r="C49" s="43" t="inlineStr">
        <is>
          <t>+1 626-263-2998</t>
        </is>
      </c>
      <c r="D49" s="42" t="n"/>
      <c r="E49" s="43" t="n">
        <v>5</v>
      </c>
      <c r="F49" s="43" t="n">
        <v>3</v>
      </c>
      <c r="G49" s="43" t="inlineStr">
        <is>
          <t>NO</t>
        </is>
      </c>
      <c r="H49" s="43" t="inlineStr">
        <is>
          <t>TIER 2</t>
        </is>
      </c>
      <c r="I49" s="42" t="n"/>
      <c r="J49" s="43" t="n"/>
      <c r="K49" s="44" t="n"/>
    </row>
    <row r="50">
      <c r="A50" s="40" t="inlineStr">
        <is>
          <t>NXT Level Plumbing Inc.</t>
        </is>
      </c>
      <c r="B50" s="45" t="inlineStr">
        <is>
          <t>Pasadena, CA</t>
        </is>
      </c>
      <c r="C50" s="45" t="inlineStr">
        <is>
          <t>+1 323-529-0446</t>
        </is>
      </c>
      <c r="D50" s="40" t="inlineStr">
        <is>
          <t>https://www.nxtlevelplumbing.net/</t>
        </is>
      </c>
      <c r="E50" s="45" t="n">
        <v>5</v>
      </c>
      <c r="F50" s="45" t="n">
        <v>17</v>
      </c>
      <c r="G50" s="45" t="inlineStr">
        <is>
          <t>NO</t>
        </is>
      </c>
      <c r="H50" s="45" t="inlineStr">
        <is>
          <t>TIER 1 - HOT</t>
        </is>
      </c>
      <c r="I50" s="40" t="inlineStr">
        <is>
          <t>Pros:
Very detailed service descriptions (tankless WH, filtration, drain/sewer, piping, ADU, renovations).
Family-owned messaging, 25+ years experience, 24/7 service.
License number shown (#1146853).
Book online button, service area list, social links (Instagram + TikTok).
Cons:
"What Our Customers Are Saying" section references "Nashville Electric Pros" — wrong company name left in template. Looks like copy-paste error from a template — very unprofessional.
No actual customer review quotes shown.
Sunday is closed (8am-5pm Mon-Sat only).
Powered by Housecall Pro — generic template feel.
No coupon or pricing info.</t>
        </is>
      </c>
      <c r="J50" s="45" t="n"/>
      <c r="K50" s="46" t="n"/>
    </row>
    <row r="51">
      <c r="A51" s="40" t="inlineStr">
        <is>
          <t>Hard Hat Rooter and plumbing</t>
        </is>
      </c>
      <c r="B51" s="45" t="inlineStr">
        <is>
          <t>Pasadena, CA</t>
        </is>
      </c>
      <c r="C51" s="45" t="inlineStr">
        <is>
          <t>+1 818-515-6233</t>
        </is>
      </c>
      <c r="D51" s="40" t="inlineStr">
        <is>
          <t>http://hardhatrooter.com/</t>
        </is>
      </c>
      <c r="E51" s="45" t="n">
        <v>5</v>
      </c>
      <c r="F51" s="45" t="n">
        <v>72</v>
      </c>
      <c r="G51" s="45" t="inlineStr">
        <is>
          <t>NO</t>
        </is>
      </c>
      <c r="H51" s="45" t="inlineStr">
        <is>
          <t>TIER 1 - HOT</t>
        </is>
      </c>
      <c r="I51" s="40" t="inlineStr">
        <is>
          <t>Pros:
Yelp embedded reviews with reviewer names and star ratings visible on page (406 reviews — strong social proof).
Coupon section for multiple services.
California license number shown (#981593).
18 years of experience mentioned.
Cons:
Coupons say "Valid until 12/31/2024" — expired by over a year. Looks neglected.
Yelp reviews show but clicking takes to external Yelp.
No team photos or individual plumber names.
No contact form visible — only phone number.
No social media links.
No Google review widget (only Yelp).</t>
        </is>
      </c>
      <c r="J51" s="45" t="n"/>
      <c r="K51" s="46" t="n"/>
    </row>
    <row r="52">
      <c r="A52" s="25" t="inlineStr">
        <is>
          <t>NexGen HVAC &amp; Plumbing</t>
        </is>
      </c>
      <c r="B52" s="26" t="inlineStr">
        <is>
          <t>Pasadena, CA</t>
        </is>
      </c>
      <c r="C52" s="26" t="inlineStr">
        <is>
          <t>+1 626-602-9437</t>
        </is>
      </c>
      <c r="D52" s="25" t="inlineStr">
        <is>
          <t>https://nexgenairandplumbing.com/locations/arcadia/?utm_campaign=gmb-listing-arcadia&amp;utm_source=google&amp;utm_medium=organic</t>
        </is>
      </c>
      <c r="E52" s="26" t="n">
        <v>4.7</v>
      </c>
      <c r="F52" s="26" t="n">
        <v>561</v>
      </c>
      <c r="G52" s="26" t="inlineStr">
        <is>
          <t>YES</t>
        </is>
      </c>
      <c r="H52" s="26" t="inlineStr">
        <is>
          <t>TIER 3</t>
        </is>
      </c>
      <c r="I52" s="25" t="n"/>
      <c r="J52" s="26" t="n"/>
      <c r="K52" s="27" t="n"/>
    </row>
    <row r="53">
      <c r="A53" s="40" t="inlineStr">
        <is>
          <t>Casey &amp; Sons Plumbing &amp; Electric</t>
        </is>
      </c>
      <c r="B53" s="45" t="inlineStr">
        <is>
          <t>Pasadena, CA</t>
        </is>
      </c>
      <c r="C53" s="45" t="inlineStr">
        <is>
          <t>+1 626-385-4600</t>
        </is>
      </c>
      <c r="D53" s="40" t="inlineStr">
        <is>
          <t>https://caseyplumbingelectric.com/</t>
        </is>
      </c>
      <c r="E53" s="45" t="n">
        <v>4.9</v>
      </c>
      <c r="F53" s="45" t="n">
        <v>101</v>
      </c>
      <c r="G53" s="45" t="inlineStr">
        <is>
          <t>NO</t>
        </is>
      </c>
      <c r="H53" s="45" t="inlineStr">
        <is>
          <t>TIER 1 - HOT</t>
        </is>
      </c>
      <c r="I53" s="40" t="inlineStr">
        <is>
          <t>Pros:
Detailed service descriptions with SEO content (good for search).
24/7 service, licensed/bonded/insured.
Mentions same-day dispatch within an hour.
Cons:
Website is pure wall-of-text SEO content — no real design or visual appeal.
No visible testimonials or reviews on homepage.
No team photos at all.
Only 3-link navigation (Home, Plumbing Services, Request Quote).
No hero section with imagery.
No social media links.
No license number prominently shown.
No star ratings.</t>
        </is>
      </c>
      <c r="J53" s="45" t="n"/>
      <c r="K53" s="46" t="n"/>
    </row>
    <row r="54">
      <c r="A54" s="40" t="inlineStr">
        <is>
          <t>Pasadena Plumbers Inc.</t>
        </is>
      </c>
      <c r="B54" s="45" t="inlineStr">
        <is>
          <t>Pasadena, CA</t>
        </is>
      </c>
      <c r="C54" s="45" t="inlineStr">
        <is>
          <t>+1 410-437-2942</t>
        </is>
      </c>
      <c r="D54" s="40" t="inlineStr">
        <is>
          <t>https://pasadenaplumbers.net/</t>
        </is>
      </c>
      <c r="E54" s="45" t="n">
        <v>4.7</v>
      </c>
      <c r="F54" s="45" t="n">
        <v>68</v>
      </c>
      <c r="G54" s="45" t="inlineStr">
        <is>
          <t>NO</t>
        </is>
      </c>
      <c r="H54" s="45" t="inlineStr">
        <is>
          <t>TIER 1 - HOT</t>
        </is>
      </c>
      <c r="I54" s="40" t="inlineStr">
        <is>
          <t>Pros:
Family-owned positioning, 25+ years experience, Facebook social link.
Cons:
THIS IS THE WRONG PASADENA — this company is based in Pasadena, MARYLAND (address: 4512 Mountain Rd, Pasadena, MD 21122). Phone is 410 area code. Service areas are Annapolis, Baltimore, DC.
Facebook video embed does not work.
Outdated site design (Weebly template circa 2015).
No clear reviews visible.
No contact form.
Lead should likely be flagged and removed from Pasadena CA list.</t>
        </is>
      </c>
      <c r="J54" s="45" t="n"/>
      <c r="K54" s="46" t="n"/>
    </row>
    <row r="55">
      <c r="A55" s="40" t="inlineStr">
        <is>
          <t>Premier Flow Plumbing</t>
        </is>
      </c>
      <c r="B55" s="45" t="inlineStr">
        <is>
          <t>Pasadena, CA</t>
        </is>
      </c>
      <c r="C55" s="45" t="inlineStr">
        <is>
          <t>+1 323-591-5773</t>
        </is>
      </c>
      <c r="D55" s="40" t="n"/>
      <c r="E55" s="45" t="n">
        <v>5</v>
      </c>
      <c r="F55" s="45" t="n">
        <v>7</v>
      </c>
      <c r="G55" s="45" t="inlineStr">
        <is>
          <t>NO</t>
        </is>
      </c>
      <c r="H55" s="45" t="inlineStr">
        <is>
          <t>TIER 1 - HOT</t>
        </is>
      </c>
      <c r="I55" s="40" t="inlineStr">
        <is>
          <t>No website found. Has 5.0 stars and 7 reviews but zero web presence.</t>
        </is>
      </c>
      <c r="J55" s="45" t="n"/>
      <c r="K55" s="46" t="n"/>
    </row>
    <row r="56">
      <c r="A56" s="40" t="inlineStr">
        <is>
          <t>Happy Family Handyman | Electrical, Plumbing, Home Repairs</t>
        </is>
      </c>
      <c r="B56" s="45" t="inlineStr">
        <is>
          <t>Pasadena, CA</t>
        </is>
      </c>
      <c r="C56" s="45" t="inlineStr">
        <is>
          <t>+1 626-361-0593</t>
        </is>
      </c>
      <c r="D56" s="40" t="inlineStr">
        <is>
          <t>http://happyfamilyhandyman.com/</t>
        </is>
      </c>
      <c r="E56" s="45" t="n">
        <v>5</v>
      </c>
      <c r="F56" s="45" t="n">
        <v>54</v>
      </c>
      <c r="G56" s="45" t="inlineStr">
        <is>
          <t>NO</t>
        </is>
      </c>
      <c r="H56" s="45" t="inlineStr">
        <is>
          <t>TIER 1 - HOT</t>
        </is>
      </c>
      <c r="I56" s="40" t="inlineStr">
        <is>
          <t>Pros:
Yelp + Google star badge images are clickable (external).
Contact form with multiple fields.
About section mentions 10+ years experience.
Services listed with real job photos.
"Free estimate" CTA.
Cons:
Business is branded as "Handyman" — plumbing is one of many services, not the focus.
No testimonials with customer names on homepage.
No license number visible.
No named plumber or team member.
No social media links beyond review platform badges.
Yelp/Google widgets link off-site, no inline star count shown.</t>
        </is>
      </c>
      <c r="J56" s="45" t="n"/>
      <c r="K56" s="46" t="n"/>
    </row>
    <row r="57">
      <c r="A57" s="25" t="inlineStr">
        <is>
          <t>All City Plumbing, Air &amp; Electrical</t>
        </is>
      </c>
      <c r="B57" s="26" t="inlineStr">
        <is>
          <t>Pasadena, CA</t>
        </is>
      </c>
      <c r="C57" s="26" t="inlineStr">
        <is>
          <t>+1 909-552-7550</t>
        </is>
      </c>
      <c r="D57" s="25" t="inlineStr">
        <is>
          <t>https://www.allcityplumbing4u.com/?utm_source=googlebusinessprofile&amp;utm_medium=organic&amp;utm_campaign=ranchocucamongagbp</t>
        </is>
      </c>
      <c r="E57" s="26" t="n">
        <v>4.9</v>
      </c>
      <c r="F57" s="26" t="n">
        <v>7918</v>
      </c>
      <c r="G57" s="26" t="inlineStr">
        <is>
          <t>YES</t>
        </is>
      </c>
      <c r="H57" s="26" t="inlineStr">
        <is>
          <t>TIER 3</t>
        </is>
      </c>
      <c r="I57" s="25" t="n"/>
      <c r="J57" s="26" t="n"/>
      <c r="K57" s="27" t="n"/>
    </row>
    <row r="58">
      <c r="A58" s="40" t="inlineStr">
        <is>
          <t>Rave Plumbing &amp; Rooter</t>
        </is>
      </c>
      <c r="B58" s="45" t="inlineStr">
        <is>
          <t>Pasadena, CA</t>
        </is>
      </c>
      <c r="C58" s="45" t="inlineStr">
        <is>
          <t>+1 818-723-7334</t>
        </is>
      </c>
      <c r="D58" s="40" t="inlineStr">
        <is>
          <t>https://www.raveplumbingandrooter.com/</t>
        </is>
      </c>
      <c r="E58" s="45" t="n">
        <v>4.7</v>
      </c>
      <c r="F58" s="45" t="n">
        <v>37</v>
      </c>
      <c r="G58" s="45" t="inlineStr">
        <is>
          <t>NO</t>
        </is>
      </c>
      <c r="H58" s="45" t="inlineStr">
        <is>
          <t>TIER 1 - HOT</t>
        </is>
      </c>
      <c r="I58" s="40" t="inlineStr">
        <is>
          <t>Website (raveplumbingandrooter.com) is down — "Site not published or does not have a domain assigned." Dead website. Strong pitch angle: has 4.7 stars + 37 reviews but no functional website.</t>
        </is>
      </c>
      <c r="J58" s="45" t="n"/>
      <c r="K58" s="46" t="n"/>
    </row>
    <row r="59">
      <c r="A59" s="40" t="inlineStr">
        <is>
          <t>Clean Out Plumbing &amp; Rooter</t>
        </is>
      </c>
      <c r="B59" s="45" t="inlineStr">
        <is>
          <t>Pasadena, CA</t>
        </is>
      </c>
      <c r="C59" s="45" t="inlineStr">
        <is>
          <t>+1 562-579-5294</t>
        </is>
      </c>
      <c r="D59" s="40" t="inlineStr">
        <is>
          <t>http://wecleanoutdrains.com/</t>
        </is>
      </c>
      <c r="E59" s="45" t="n">
        <v>4.9</v>
      </c>
      <c r="F59" s="45" t="n">
        <v>95</v>
      </c>
      <c r="G59" s="45" t="inlineStr">
        <is>
          <t>NO</t>
        </is>
      </c>
      <c r="H59" s="45" t="inlineStr">
        <is>
          <t>TIER 1 - HOT</t>
        </is>
      </c>
      <c r="I59" s="40" t="inlineStr">
        <is>
          <t>Pros:
Good tagline: "We Clear Your Drains, Not Your Wallet."
4 social media links (Facebook, Instagram, YouTube, Yelp).
Review aggregate visible (4.7 / 48 ratings) with link.
$49 drain cleaning special shown in hero.
2-year 0% interest financing offered.
Same-day service + 30-day warranty highlighted.
"Request Call Back" CTA.
Cons:
Review count visible but links off-site — no testimonial quotes shown inline.
No team photos or named plumber.
No license number visible.
Hero section feels cluttered — CTA, reviews, phone, tagline, offer all competing.
No address or service area shown.</t>
        </is>
      </c>
      <c r="J59" s="45" t="n"/>
      <c r="K59" s="46" t="n"/>
    </row>
    <row r="60">
      <c r="A60" s="40" t="inlineStr">
        <is>
          <t>Foothill Plumbing</t>
        </is>
      </c>
      <c r="B60" s="45" t="inlineStr">
        <is>
          <t>Pasadena, CA</t>
        </is>
      </c>
      <c r="C60" s="45" t="inlineStr">
        <is>
          <t>+1 818-352-0015</t>
        </is>
      </c>
      <c r="D60" s="40" t="inlineStr">
        <is>
          <t>http://www.foothillplumbing247.com/</t>
        </is>
      </c>
      <c r="E60" s="45" t="n">
        <v>4.5</v>
      </c>
      <c r="F60" s="45" t="n">
        <v>35</v>
      </c>
      <c r="G60" s="45" t="inlineStr">
        <is>
          <t>NO</t>
        </is>
      </c>
      <c r="H60" s="45" t="inlineStr">
        <is>
          <t>TIER 1 - HOT</t>
        </is>
      </c>
      <c r="I60" s="40" t="inlineStr">
        <is>
          <t>Pros:
License number visible (#866813).
30+ years in business mentioned.
24/7 service.
Address listed (La Crescenta, CA).
Fairly comprehensive service list.
Cons:
Very dated design (GoDaddy builder, circa 2015).
Google Maps embed is broken ("This page can't load Google Maps correctly").
No testimonials or reviews anywhere.
No team intro or photos.
No contact form — only phone and email.
No CTAs beyond "Read More" links.
No social media links.</t>
        </is>
      </c>
      <c r="J60" s="45" t="n"/>
      <c r="K60" s="46" t="n"/>
    </row>
    <row r="61">
      <c r="A61" s="25" t="inlineStr">
        <is>
          <t>Barrington Plumbing Co. LLC</t>
        </is>
      </c>
      <c r="B61" s="26" t="inlineStr">
        <is>
          <t>Pasadena, CA</t>
        </is>
      </c>
      <c r="C61" s="26" t="inlineStr">
        <is>
          <t>+1 626-796-0291</t>
        </is>
      </c>
      <c r="D61" s="25" t="inlineStr">
        <is>
          <t>https://barrington.plumbing/</t>
        </is>
      </c>
      <c r="E61" s="26" t="n">
        <v>3.7</v>
      </c>
      <c r="F61" s="26" t="n">
        <v>3</v>
      </c>
      <c r="G61" s="26" t="inlineStr">
        <is>
          <t>NO</t>
        </is>
      </c>
      <c r="H61" s="26" t="inlineStr">
        <is>
          <t>TIER 3</t>
        </is>
      </c>
      <c r="I61" s="25" t="n"/>
      <c r="J61" s="26" t="n"/>
      <c r="K61" s="27" t="n"/>
    </row>
    <row r="62">
      <c r="A62" s="40" t="inlineStr">
        <is>
          <t>Flintridge Rooter &amp; Fine Plumbing</t>
        </is>
      </c>
      <c r="B62" s="45" t="inlineStr">
        <is>
          <t>Pasadena, CA</t>
        </is>
      </c>
      <c r="C62" s="45" t="inlineStr">
        <is>
          <t>+1 818-744-8192</t>
        </is>
      </c>
      <c r="D62" s="40" t="inlineStr">
        <is>
          <t>http://www.flintridgerooterandfineplumbing.com/</t>
        </is>
      </c>
      <c r="E62" s="45" t="n">
        <v>5</v>
      </c>
      <c r="F62" s="45" t="n">
        <v>8</v>
      </c>
      <c r="G62" s="45" t="inlineStr">
        <is>
          <t>NO</t>
        </is>
      </c>
      <c r="H62" s="45" t="inlineStr">
        <is>
          <t>TIER 1 - HOT</t>
        </is>
      </c>
      <c r="I62" s="40" t="inlineStr">
        <is>
          <t>Website (flintridgerooterandfineplumbing.com) appears broken/misconfigured — homepage only loaded a "Shopping Cart" widget with no real content. Has a "Cart" nav link (unusual for a plumber). No services, no contact info, no reviews visible. Site is essentially unusable. Strong pitch angle: 5.0 stars, 8 reviews, no working website.</t>
        </is>
      </c>
      <c r="J62" s="45" t="n"/>
      <c r="K62" s="46" t="n"/>
    </row>
    <row r="63">
      <c r="A63" s="40" t="inlineStr">
        <is>
          <t>Pro Flow-Highland Park CA-Plumbing Rooter</t>
        </is>
      </c>
      <c r="B63" s="45" t="inlineStr">
        <is>
          <t>Pasadena, CA</t>
        </is>
      </c>
      <c r="C63" s="45" t="inlineStr">
        <is>
          <t>+1 562-556-9394</t>
        </is>
      </c>
      <c r="D63" s="40" t="n"/>
      <c r="E63" s="45" t="n">
        <v>4.9</v>
      </c>
      <c r="F63" s="45" t="n">
        <v>37</v>
      </c>
      <c r="G63" s="45" t="inlineStr">
        <is>
          <t>NO</t>
        </is>
      </c>
      <c r="H63" s="45" t="inlineStr">
        <is>
          <t>TIER 1 - HOT</t>
        </is>
      </c>
      <c r="I63" s="40" t="inlineStr">
        <is>
          <t>No website found. 4.9 stars + 37 reviews but zero web presence. Strong pitch angle.</t>
        </is>
      </c>
      <c r="J63" s="45" t="n"/>
      <c r="K63" s="46" t="n"/>
    </row>
    <row r="64">
      <c r="A64" s="40" t="inlineStr">
        <is>
          <t>Plumbing Dudes</t>
        </is>
      </c>
      <c r="B64" s="45" t="inlineStr">
        <is>
          <t>Pasadena, CA</t>
        </is>
      </c>
      <c r="C64" s="45" t="inlineStr">
        <is>
          <t>+1 818-805-4013</t>
        </is>
      </c>
      <c r="D64" s="40" t="inlineStr">
        <is>
          <t>https://www.plumbingdudes.la/</t>
        </is>
      </c>
      <c r="E64" s="45" t="n">
        <v>5</v>
      </c>
      <c r="F64" s="45" t="n">
        <v>54</v>
      </c>
      <c r="G64" s="45" t="inlineStr">
        <is>
          <t>NO</t>
        </is>
      </c>
      <c r="H64" s="45" t="inlineStr">
        <is>
          <t>TIER 1 - HOT</t>
        </is>
      </c>
      <c r="I64" s="40" t="inlineStr">
        <is>
          <t>Pros:
Multiple customer testimonials with names (Sassefi A., Josh B., Jill G., Sevana, Tenny K., Brian B.) — strong social proof.
"Led by a Master Plumber and former home inspector" is a compelling differentiator.
Free estimates, licensed/bonded/insured.
Family-owned for 10+ years.
"View All Reviews" link to dedicated reviews page.
Contact form with opt-in for text updates.
Cons:
No license number on homepage.
Phone number discrepancy — Google listing shows (818) 805-4013 but site shows (818) 975-3022.
No pricing or coupons.
No social media links visible on homepage.
"Master Plumber" credential is mentioned in paragraph text but not highlighted in hero — buried.</t>
        </is>
      </c>
      <c r="J64" s="45" t="n"/>
      <c r="K64" s="46" t="n"/>
    </row>
    <row r="65">
      <c r="A65" s="42" t="inlineStr">
        <is>
          <t>Westside plumbing &amp; Drains</t>
        </is>
      </c>
      <c r="B65" s="43" t="inlineStr">
        <is>
          <t>Pasadena, CA</t>
        </is>
      </c>
      <c r="C65" s="43" t="inlineStr">
        <is>
          <t>+1 323-614-1071</t>
        </is>
      </c>
      <c r="D65" s="42" t="n"/>
      <c r="E65" s="43" t="n">
        <v>5</v>
      </c>
      <c r="F65" s="43" t="n">
        <v>4</v>
      </c>
      <c r="G65" s="43" t="inlineStr">
        <is>
          <t>NO</t>
        </is>
      </c>
      <c r="H65" s="43" t="inlineStr">
        <is>
          <t>TIER 2</t>
        </is>
      </c>
      <c r="I65" s="42" t="n"/>
      <c r="J65" s="43" t="n"/>
      <c r="K65" s="44" t="n"/>
    </row>
    <row r="66">
      <c r="A66" s="40" t="inlineStr">
        <is>
          <t>Magic Rooter &amp; Plumbing</t>
        </is>
      </c>
      <c r="B66" s="45" t="inlineStr">
        <is>
          <t>Pasadena, CA</t>
        </is>
      </c>
      <c r="C66" s="45" t="inlineStr">
        <is>
          <t>+1 626-517-3121</t>
        </is>
      </c>
      <c r="D66" s="40" t="inlineStr">
        <is>
          <t>https://www.themagicrooter.com/</t>
        </is>
      </c>
      <c r="E66" s="45" t="n">
        <v>5</v>
      </c>
      <c r="F66" s="45" t="n">
        <v>105</v>
      </c>
      <c r="G66" s="45" t="inlineStr">
        <is>
          <t>NO</t>
        </is>
      </c>
      <c r="H66" s="45" t="inlineStr">
        <is>
          <t>TIER 1 - HOT</t>
        </is>
      </c>
      <c r="I66" s="40" t="inlineStr">
        <is>
          <t>Pros:
Founder named (Manuel Melgoza, 23+ years experience, since 2007).
Flexible financing options mentioned.
Coupon section present.
Cutting-edge tools/trenchless tech described.
Clear service list with sub-pages.
Quality guarantee promised.
Cons:
No actual review quotes on homepage — "A Focus on Customer Satisfaction" section has no testimonials shown.
QR code links to a (407) Florida area code number — looks like a template placeholder left in.
No license number on homepage.
No team photo beyond logo.
Review star widget links off-site, not shown inline.</t>
        </is>
      </c>
      <c r="J66" s="45" t="n"/>
      <c r="K66" s="46" t="n"/>
    </row>
    <row r="67">
      <c r="A67" s="42" t="inlineStr">
        <is>
          <t>Dynamite Plumbing</t>
        </is>
      </c>
      <c r="B67" s="43" t="inlineStr">
        <is>
          <t>Pasadena, CA</t>
        </is>
      </c>
      <c r="C67" s="43" t="n"/>
      <c r="D67" s="42" t="n"/>
      <c r="E67" s="43" t="n">
        <v>5</v>
      </c>
      <c r="F67" s="43" t="n">
        <v>2</v>
      </c>
      <c r="G67" s="43" t="inlineStr">
        <is>
          <t>NO</t>
        </is>
      </c>
      <c r="H67" s="43" t="inlineStr">
        <is>
          <t>TIER 2</t>
        </is>
      </c>
      <c r="I67" s="42" t="n"/>
      <c r="J67" s="43" t="n"/>
      <c r="K67" s="44" t="n"/>
    </row>
    <row r="68">
      <c r="A68" s="15" t="inlineStr">
        <is>
          <t>LA Plumbing Company</t>
        </is>
      </c>
      <c r="B68" s="15" t="inlineStr">
        <is>
          <t>Torrance, CA</t>
        </is>
      </c>
      <c r="C68" s="15" t="inlineStr">
        <is>
          <t>+1 424-677-2359</t>
        </is>
      </c>
      <c r="D68" s="15" t="inlineStr">
        <is>
          <t>http://losangelescaplumbing.com/</t>
        </is>
      </c>
      <c r="E68" s="15" t="n">
        <v>4.9</v>
      </c>
      <c r="F68" s="15" t="n">
        <v>104</v>
      </c>
      <c r="G68" s="15" t="inlineStr">
        <is>
          <t>NO</t>
        </is>
      </c>
      <c r="H68" s="15" t="inlineStr">
        <is>
          <t>TIER 1 - HOT</t>
        </is>
      </c>
      <c r="I68" s="15" t="inlineStr">
        <is>
          <t>Owner Info: Not publicly identified. Britney Hills listed on LinkedIn as staff. No named owner on site.
Contact: (424) 677-2359 | losangelescaplumbing.com | Source: Google Maps
Pros:
Clean, modern design with real job photos per service. Has service area pages per city (Redondo Beach, Manhattan Beach, Torrance, etc.). Blog section with local SEO articles. Free estimate form with service category and timeline selectors. "Coastal plumbing expertise" is a strong unique angle. 24/7 availability stated.
Cons:
No testimonials or customer reviews visible on homepage — zero social proof shown.
No team photos, no owner name, no license number anywhere on site.
No social media links at all.
Hero section leads with a dense estimate form rather than trust-building content — puts the cart before the horse.
No star rating badge or review count shown (Google/Yelp).
FAQ section is all collapsed — no content visible above the fold.</t>
        </is>
      </c>
      <c r="J68" s="15" t="inlineStr">
        <is>
          <t>Unknown</t>
        </is>
      </c>
      <c r="K68" s="15" t="n"/>
    </row>
    <row r="69">
      <c r="A69" s="15" t="inlineStr">
        <is>
          <t>Payless Water Heaters &amp; Plumbing</t>
        </is>
      </c>
      <c r="B69" s="15" t="inlineStr">
        <is>
          <t>Sherman Oaks, CA</t>
        </is>
      </c>
      <c r="C69" s="15" t="inlineStr">
        <is>
          <t>+1 818-450-5102</t>
        </is>
      </c>
      <c r="D69" s="15" t="inlineStr">
        <is>
          <t>https://paylesswaterheaters.com/</t>
        </is>
      </c>
      <c r="E69" s="15" t="n">
        <v>4.9</v>
      </c>
      <c r="F69" s="15" t="n">
        <v>122</v>
      </c>
      <c r="G69" s="15" t="inlineStr">
        <is>
          <t>NO</t>
        </is>
      </c>
      <c r="H69" s="15" t="inlineStr">
        <is>
          <t>TIER 3</t>
        </is>
      </c>
      <c r="I69" s="15" t="inlineStr">
        <is>
          <t>Owner Info: Founders — Bryan Oksas (CEO) and Scott Oksas (brothers). 30+ years in business. Family-owned.
Contact: (888) 548-5632 | paylesswaterheaters.com | Source: Google Maps
Pros:
Multiple Google location review counts displayed inline on homepage (3,284 / 520 / 320 / 581 / 1,863 reviews — strong social proof). "Get Hot Water in Hours, Not Days" is a sharp hero headline. Same-day service + instant estimate CTA. Savings clearly stated on about page ($500-800 off installs, $400 off tankless). Founder story on about page (brothers Bryan &amp; Scott Oksas, 30+ years). 100k+ installations mentioned.
Cons:
"Scheduler Not Configured to Run on This Site" error displays at top of every page — very unprofessional.
About page overuses "Bradford White Water Heaters" excessively — reads like keyword stuffing, not real copy.
Water heater specialist only — not a general plumber, limited pitch angle.
No social media links visible.
No team or founder photos anywhere.
Multiple GMB location ratings shown together creates confusion about which location a customer is contacting.</t>
        </is>
      </c>
      <c r="J69" s="15" t="inlineStr">
        <is>
          <t>Bryan Oksas (CEO / Co-Founder), Scott Oksas (Co-Founder)</t>
        </is>
      </c>
      <c r="K69" s="15" t="n"/>
    </row>
    <row r="70">
      <c r="A70" s="15" t="inlineStr">
        <is>
          <t>R&amp;R Plumbing Services</t>
        </is>
      </c>
      <c r="B70" s="15" t="inlineStr">
        <is>
          <t>Inglewood, CA</t>
        </is>
      </c>
      <c r="C70" s="15" t="inlineStr">
        <is>
          <t>+1 833-925-7080</t>
        </is>
      </c>
      <c r="D70" s="15" t="inlineStr">
        <is>
          <t>https://www.randrplumbingservices.com/</t>
        </is>
      </c>
      <c r="E70" s="15" t="n">
        <v>5</v>
      </c>
      <c r="F70" s="15" t="n">
        <v>4</v>
      </c>
      <c r="G70" s="15" t="inlineStr">
        <is>
          <t>NO</t>
        </is>
      </c>
      <c r="H70" s="15" t="inlineStr">
        <is>
          <t>TIER 1 - HOT</t>
        </is>
      </c>
      <c r="I70" s="15" t="inlineStr">
        <is>
          <t>Owner Info: Rafael Rangel (Founder &amp; Owner). 20+ years experience. LinkedIn confirms: linkedin.com/in/rafael-rangel-026b3b82
Contact: 833-743-4599 | info@randrplumbingservices.com | randrplumbingservices.com | Source: Google Maps
Pros:
Owner named (Rafael Rangel) with personal backstory and Henry Ford quote — builds immediate trust.
Serves HOAs and property managers as a distinct niche (multi-unit division).
Two customer reviews with names and cities (Jordan B., Diane O.) including one that names Rafael directly.
Email + phone + contact form all present. Family-owned positioning.
Cons:
Only 4 Google reviews total — very low for outreach confidence.
3 different phone numbers across Google (833-925-7080), site header (323-228-3263), and footer (833-743-4599) — inconsistent and confusing.
No star rating or review count shown on homepage.
No license number visible anywhere.
No social media links.
No pricing or coupons.
Hero image is a dark generic stock photo — not real work or team.
No services detail page visible — just service category cards that say "Read More".</t>
        </is>
      </c>
      <c r="J70" s="15" t="inlineStr">
        <is>
          <t>Rafael Rangel (Owner / Founder)</t>
        </is>
      </c>
      <c r="K70" s="15" t="n"/>
    </row>
    <row r="71">
      <c r="A71" s="15" t="inlineStr">
        <is>
          <t>Drain Right Services</t>
        </is>
      </c>
      <c r="B71" s="15" t="inlineStr">
        <is>
          <t>Gardena, CA</t>
        </is>
      </c>
      <c r="C71" s="15" t="inlineStr">
        <is>
          <t>+1 800-208-8875</t>
        </is>
      </c>
      <c r="D71" s="15" t="inlineStr">
        <is>
          <t>https://www.drainrightservices.com/</t>
        </is>
      </c>
      <c r="E71" s="15" t="n">
        <v>4.9</v>
      </c>
      <c r="F71" s="15" t="n">
        <v>1800</v>
      </c>
      <c r="G71" s="15" t="inlineStr">
        <is>
          <t>NO</t>
        </is>
      </c>
      <c r="H71" s="15" t="inlineStr">
        <is>
          <t>TIER 3</t>
        </is>
      </c>
      <c r="I71" s="15" t="inlineStr">
        <is>
          <t>Owner Info: Ray Gallardo (President). LinkedIn: linkedin.com/in/ray-gallardo-28630748. Rick Gallardo also listed on LinkedIn.
Contact: 877-962-4545 | customerservice@drainrightservices.com | drainrightservices.com | Source: Google Maps
Pros:
$45 drain cleaning offer prominently in hero — strong price anchor.
5 social media links (Facebook, Twitter, YouTube, Instagram, Yelp, Google Maps).
Full contact block: two location addresses, phone, email.
CSLB license number visible (#852708).
Synchrony financing available — lowers barrier for big jobs.
Multiple payment methods shown (Visa, Mastercard, Amex, Discover, Apple Pay, Google Wallet).
Live chat widget present. 24/7 hours.
Cons:
"Photo By: John Doe" placeholder credit text left live on site — looks like an incomplete template.
"Invalid API Key — API key is required" error message appears on page — unprofessional.
No customer testimonials or reviews shown on homepage — zero quotes despite 1,800 Google reviews.
No team photos or owner name visible.
Synchrony financing block reads like generic boilerplate copy, not tailored.
ServiceTitan scheduler header leak visible in page code.
20+ year established company with 1,800 reviews — strong incumbents, tougher to pitch a redesign.</t>
        </is>
      </c>
      <c r="J71" s="15" t="inlineStr">
        <is>
          <t>Ray Gallardo (President)</t>
        </is>
      </c>
      <c r="K71" s="15" t="n"/>
    </row>
    <row r="72">
      <c r="A72" s="15" t="inlineStr">
        <is>
          <t>Valencia's Plumbing</t>
        </is>
      </c>
      <c r="B72" s="15" t="inlineStr">
        <is>
          <t>Los Angeles, CA</t>
        </is>
      </c>
      <c r="C72" s="15" t="inlineStr">
        <is>
          <t>+1 323-489-9276</t>
        </is>
      </c>
      <c r="D72" s="15" t="inlineStr">
        <is>
          <t>https://valenciasplumbing20.net/</t>
        </is>
      </c>
      <c r="E72" s="15" t="n">
        <v>4.9</v>
      </c>
      <c r="F72" s="15" t="n">
        <v>123</v>
      </c>
      <c r="G72" s="15" t="inlineStr">
        <is>
          <t>NO</t>
        </is>
      </c>
      <c r="H72" s="15" t="inlineStr">
        <is>
          <t>TIER 1 - HOT</t>
        </is>
      </c>
      <c r="I72" s="15" t="inlineStr">
        <is>
          <t>Owner Info: Not publicly identified. "Christian" mentioned by name in a customer review as the technician/team lead. Instagram: @valenciasplumbing20.
Contact: (323) 489-9276 | valenciasplumbing20.net | Source: Google Maps
Pros:
Instagram feed embedded on homepage showing real job photos — authentic proof of work.
Customer reviews shown inline with names (Rafael M., Carlos Ramos, Mary Schafer) including one in Spanish — shows bilingual customer reach.
"Christian" named by a customer — builds a human connection.
Same-day + 24/7 emergency service prominent. Clear pricing promise ("no hidden costs"). Contact form present. Service pages linked per category.
Cons:
No owner name or team intro anywhere on site — completely anonymous despite strong reviews.
No license number visible on homepage.
No dedicated About page — no story behind the business.
Emoji icons (🛠️ 💧 🚿) in service navigation look unprofessive on a business site.
No social media links besides the embedded Instagram feed (no Facebook, Yelp, or Google badge shown).
No pricing or coupons.
Hero is a generic home construction stock photo — not real team or job photos.
No star rating widget or Google review badge shown on homepage.</t>
        </is>
      </c>
      <c r="J72" s="15" t="inlineStr">
        <is>
          <t>Unknown (Christian mentioned in reviews)</t>
        </is>
      </c>
      <c r="K72" s="15" t="n"/>
    </row>
    <row r="73">
      <c r="A73" s="15" t="n"/>
      <c r="B73" s="15" t="n"/>
      <c r="C73" s="15" t="n"/>
      <c r="D73" s="15" t="n"/>
      <c r="E73" s="15" t="n"/>
      <c r="F73" s="15" t="n"/>
      <c r="G73" s="15" t="n"/>
      <c r="H73" s="15" t="n"/>
      <c r="I73" s="15" t="n"/>
      <c r="J73" s="15" t="n"/>
      <c r="K73" s="15" t="n"/>
    </row>
    <row r="74">
      <c r="A74" s="15" t="n"/>
      <c r="B74" s="15" t="n"/>
      <c r="C74" s="15" t="n"/>
      <c r="D74" s="15" t="n"/>
      <c r="E74" s="15" t="n"/>
      <c r="F74" s="15" t="n"/>
      <c r="G74" s="15" t="n"/>
      <c r="H74" s="15" t="n"/>
      <c r="I74" s="15" t="n"/>
      <c r="J74" s="15" t="n"/>
      <c r="K74" s="15" t="n"/>
    </row>
    <row r="75">
      <c r="A75" s="15" t="n"/>
      <c r="B75" s="15" t="n"/>
      <c r="C75" s="15" t="n"/>
      <c r="D75" s="15" t="n"/>
      <c r="E75" s="15" t="n"/>
      <c r="F75" s="15" t="n"/>
      <c r="G75" s="15" t="n"/>
      <c r="H75" s="15" t="n"/>
      <c r="I75" s="15" t="n"/>
      <c r="J75" s="15" t="n"/>
      <c r="K75" s="15" t="n"/>
    </row>
    <row r="76">
      <c r="A76" s="15" t="n"/>
      <c r="B76" s="15" t="n"/>
      <c r="C76" s="15" t="n"/>
      <c r="D76" s="15" t="n"/>
      <c r="E76" s="15" t="n"/>
      <c r="F76" s="15" t="n"/>
      <c r="G76" s="15" t="n"/>
      <c r="H76" s="15" t="n"/>
      <c r="I76" s="15" t="n"/>
      <c r="J76" s="15" t="n"/>
      <c r="K76" s="15" t="n"/>
    </row>
    <row r="77">
      <c r="A77" s="15" t="n"/>
      <c r="B77" s="15" t="n"/>
      <c r="C77" s="15" t="n"/>
      <c r="D77" s="15" t="n"/>
      <c r="E77" s="15" t="n"/>
      <c r="F77" s="15" t="n"/>
      <c r="G77" s="15" t="n"/>
      <c r="H77" s="15" t="n"/>
      <c r="I77" s="15" t="n"/>
      <c r="J77" s="15" t="n"/>
      <c r="K77" s="15" t="n"/>
    </row>
    <row r="78">
      <c r="A78" s="15" t="n"/>
      <c r="B78" s="15" t="n"/>
      <c r="C78" s="15" t="n"/>
      <c r="D78" s="15" t="n"/>
      <c r="E78" s="15" t="n"/>
      <c r="F78" s="15" t="n"/>
      <c r="G78" s="15" t="n"/>
      <c r="H78" s="15" t="n"/>
      <c r="I78" s="15" t="n"/>
      <c r="J78" s="15" t="n"/>
      <c r="K78" s="15" t="n"/>
    </row>
    <row r="79">
      <c r="A79" s="15" t="n"/>
      <c r="B79" s="15" t="n"/>
      <c r="C79" s="15" t="n"/>
      <c r="D79" s="15" t="n"/>
      <c r="E79" s="15" t="n"/>
      <c r="F79" s="15" t="n"/>
      <c r="G79" s="15" t="n"/>
      <c r="H79" s="15" t="n"/>
      <c r="I79" s="15" t="n"/>
      <c r="J79" s="15" t="n"/>
      <c r="K79" s="15" t="n"/>
    </row>
    <row r="80">
      <c r="A80" s="15" t="n"/>
      <c r="B80" s="15" t="n"/>
      <c r="C80" s="15" t="n"/>
      <c r="D80" s="15" t="n"/>
      <c r="E80" s="15" t="n"/>
      <c r="F80" s="15" t="n"/>
      <c r="G80" s="15" t="n"/>
      <c r="H80" s="15" t="n"/>
      <c r="I80" s="15" t="n"/>
      <c r="J80" s="15" t="n"/>
      <c r="K80" s="15" t="n"/>
    </row>
    <row r="81">
      <c r="A81" s="15" t="n"/>
      <c r="B81" s="15" t="n"/>
      <c r="C81" s="15" t="n"/>
      <c r="D81" s="15" t="n"/>
      <c r="E81" s="15" t="n"/>
      <c r="F81" s="15" t="n"/>
      <c r="G81" s="15" t="n"/>
      <c r="H81" s="15" t="n"/>
      <c r="I81" s="15" t="n"/>
      <c r="J81" s="15" t="n"/>
      <c r="K81" s="15" t="n"/>
    </row>
    <row r="82">
      <c r="A82" s="15" t="n"/>
      <c r="B82" s="15" t="n"/>
      <c r="C82" s="15" t="n"/>
      <c r="D82" s="15" t="n"/>
      <c r="E82" s="15" t="n"/>
      <c r="F82" s="15" t="n"/>
      <c r="G82" s="15" t="n"/>
      <c r="H82" s="15" t="n"/>
      <c r="I82" s="15" t="n"/>
      <c r="J82" s="15" t="n"/>
      <c r="K82" s="15" t="n"/>
    </row>
    <row r="83">
      <c r="A83" s="15" t="n"/>
      <c r="B83" s="15" t="n"/>
      <c r="C83" s="15" t="n"/>
      <c r="D83" s="15" t="n"/>
      <c r="E83" s="15" t="n"/>
      <c r="F83" s="15" t="n"/>
      <c r="G83" s="15" t="n"/>
      <c r="H83" s="15" t="n"/>
      <c r="I83" s="15" t="n"/>
      <c r="J83" s="15" t="n"/>
      <c r="K83" s="15" t="n"/>
    </row>
    <row r="84">
      <c r="A84" s="15" t="n"/>
      <c r="B84" s="15" t="n"/>
      <c r="C84" s="15" t="n"/>
      <c r="D84" s="15" t="n"/>
      <c r="E84" s="15" t="n"/>
      <c r="F84" s="15" t="n"/>
      <c r="G84" s="15" t="n"/>
      <c r="H84" s="15" t="n"/>
      <c r="I84" s="15" t="n"/>
      <c r="J84" s="15" t="n"/>
      <c r="K84" s="15" t="n"/>
    </row>
    <row r="85">
      <c r="A85" s="15" t="n"/>
      <c r="B85" s="15" t="n"/>
      <c r="C85" s="15" t="n"/>
      <c r="D85" s="15" t="n"/>
      <c r="E85" s="15" t="n"/>
      <c r="F85" s="15" t="n"/>
      <c r="G85" s="15" t="n"/>
      <c r="H85" s="15" t="n"/>
      <c r="I85" s="15" t="n"/>
      <c r="J85" s="15" t="n"/>
      <c r="K85" s="15" t="n"/>
    </row>
    <row r="86">
      <c r="A86" s="15" t="n"/>
      <c r="B86" s="15" t="n"/>
      <c r="C86" s="15" t="n"/>
      <c r="D86" s="15" t="n"/>
      <c r="E86" s="15" t="n"/>
      <c r="F86" s="15" t="n"/>
      <c r="G86" s="15" t="n"/>
      <c r="H86" s="15" t="n"/>
      <c r="I86" s="15" t="n"/>
      <c r="J86" s="15" t="n"/>
      <c r="K86" s="15" t="n"/>
    </row>
    <row r="87">
      <c r="A87" s="15" t="n"/>
      <c r="B87" s="15" t="n"/>
      <c r="C87" s="15" t="n"/>
      <c r="D87" s="15" t="n"/>
      <c r="E87" s="15" t="n"/>
      <c r="F87" s="15" t="n"/>
      <c r="G87" s="15" t="n"/>
      <c r="H87" s="15" t="n"/>
      <c r="I87" s="15" t="n"/>
      <c r="J87" s="15" t="n"/>
      <c r="K87" s="15" t="n"/>
    </row>
    <row r="88">
      <c r="A88" s="15" t="n"/>
      <c r="B88" s="15" t="n"/>
      <c r="C88" s="15" t="n"/>
      <c r="D88" s="15" t="n"/>
      <c r="E88" s="15" t="n"/>
      <c r="F88" s="15" t="n"/>
      <c r="G88" s="15" t="n"/>
      <c r="H88" s="15" t="n"/>
      <c r="I88" s="15" t="n"/>
      <c r="J88" s="15" t="n"/>
      <c r="K88" s="15" t="n"/>
    </row>
    <row r="89">
      <c r="A89" s="15" t="n"/>
      <c r="B89" s="15" t="n"/>
      <c r="C89" s="15" t="n"/>
      <c r="D89" s="15" t="n"/>
      <c r="E89" s="15" t="n"/>
      <c r="F89" s="15" t="n"/>
      <c r="G89" s="15" t="n"/>
      <c r="H89" s="15" t="n"/>
      <c r="I89" s="15" t="n"/>
      <c r="J89" s="15" t="n"/>
      <c r="K89" s="15" t="n"/>
    </row>
    <row r="90">
      <c r="A90" s="15" t="n"/>
      <c r="B90" s="15" t="n"/>
      <c r="C90" s="15" t="n"/>
      <c r="D90" s="15" t="n"/>
      <c r="E90" s="15" t="n"/>
      <c r="F90" s="15" t="n"/>
      <c r="G90" s="15" t="n"/>
      <c r="H90" s="15" t="n"/>
      <c r="I90" s="15" t="n"/>
      <c r="J90" s="15" t="n"/>
      <c r="K90" s="15" t="n"/>
    </row>
    <row r="91">
      <c r="A91" s="15" t="n"/>
      <c r="B91" s="15" t="n"/>
      <c r="C91" s="15" t="n"/>
      <c r="D91" s="15" t="n"/>
      <c r="E91" s="15" t="n"/>
      <c r="F91" s="15" t="n"/>
      <c r="G91" s="15" t="n"/>
      <c r="H91" s="15" t="n"/>
      <c r="I91" s="15" t="n"/>
      <c r="J91" s="15" t="n"/>
      <c r="K91" s="15" t="n"/>
    </row>
    <row r="92">
      <c r="A92" s="15" t="n"/>
      <c r="B92" s="15" t="n"/>
      <c r="C92" s="15" t="n"/>
      <c r="D92" s="15" t="n"/>
      <c r="E92" s="15" t="n"/>
      <c r="F92" s="15" t="n"/>
      <c r="G92" s="15" t="n"/>
      <c r="H92" s="15" t="n"/>
      <c r="I92" s="15" t="n"/>
      <c r="J92" s="15" t="n"/>
      <c r="K92" s="15" t="n"/>
    </row>
    <row r="93">
      <c r="A93" s="15" t="n"/>
      <c r="B93" s="15" t="n"/>
      <c r="C93" s="15" t="n"/>
      <c r="D93" s="15" t="n"/>
      <c r="E93" s="15" t="n"/>
      <c r="F93" s="15" t="n"/>
      <c r="G93" s="15" t="n"/>
      <c r="H93" s="15" t="n"/>
      <c r="I93" s="15" t="n"/>
      <c r="J93" s="15" t="n"/>
      <c r="K93" s="15" t="n"/>
    </row>
    <row r="94">
      <c r="A94" s="15" t="n"/>
      <c r="B94" s="15" t="n"/>
      <c r="C94" s="15" t="n"/>
      <c r="D94" s="15" t="n"/>
      <c r="E94" s="15" t="n"/>
      <c r="F94" s="15" t="n"/>
      <c r="G94" s="15" t="n"/>
      <c r="H94" s="15" t="n"/>
      <c r="I94" s="15" t="n"/>
      <c r="J94" s="15" t="n"/>
      <c r="K94" s="15" t="n"/>
    </row>
    <row r="95">
      <c r="A95" s="15" t="n"/>
      <c r="B95" s="15" t="n"/>
      <c r="C95" s="15" t="n"/>
      <c r="D95" s="15" t="n"/>
      <c r="E95" s="15" t="n"/>
      <c r="F95" s="15" t="n"/>
      <c r="G95" s="15" t="n"/>
      <c r="H95" s="15" t="n"/>
      <c r="I95" s="15" t="n"/>
      <c r="J95" s="15" t="n"/>
      <c r="K95" s="15" t="n"/>
    </row>
    <row r="96">
      <c r="A96" s="15" t="n"/>
      <c r="B96" s="15" t="n"/>
      <c r="C96" s="15" t="n"/>
      <c r="D96" s="15" t="n"/>
      <c r="E96" s="15" t="n"/>
      <c r="F96" s="15" t="n"/>
      <c r="G96" s="15" t="n"/>
      <c r="H96" s="15" t="n"/>
      <c r="I96" s="15" t="n"/>
      <c r="J96" s="15" t="n"/>
      <c r="K96" s="15" t="n"/>
    </row>
    <row r="97">
      <c r="A97" s="15" t="n"/>
      <c r="B97" s="15" t="n"/>
      <c r="C97" s="15" t="n"/>
      <c r="D97" s="15" t="n"/>
      <c r="E97" s="15" t="n"/>
      <c r="F97" s="15" t="n"/>
      <c r="G97" s="15" t="n"/>
      <c r="H97" s="15" t="n"/>
      <c r="I97" s="15" t="n"/>
      <c r="J97" s="15" t="n"/>
      <c r="K97" s="15" t="n"/>
    </row>
    <row r="98">
      <c r="A98" s="15" t="n"/>
      <c r="B98" s="15" t="n"/>
      <c r="C98" s="15" t="n"/>
      <c r="D98" s="15" t="n"/>
      <c r="E98" s="15" t="n"/>
      <c r="F98" s="15" t="n"/>
      <c r="G98" s="15" t="n"/>
      <c r="H98" s="15" t="n"/>
      <c r="I98" s="15" t="n"/>
      <c r="J98" s="15" t="n"/>
      <c r="K98" s="15" t="n"/>
    </row>
    <row r="99">
      <c r="A99" s="15" t="n"/>
      <c r="B99" s="15" t="n"/>
      <c r="C99" s="15" t="n"/>
      <c r="D99" s="15" t="n"/>
      <c r="E99" s="15" t="n"/>
      <c r="F99" s="15" t="n"/>
      <c r="G99" s="15" t="n"/>
      <c r="H99" s="15" t="n"/>
      <c r="I99" s="15" t="n"/>
      <c r="J99" s="15" t="n"/>
      <c r="K99" s="15" t="n"/>
    </row>
    <row r="100">
      <c r="A100" s="15" t="n"/>
      <c r="B100" s="15" t="n"/>
      <c r="C100" s="15" t="n"/>
      <c r="D100" s="15" t="n"/>
      <c r="E100" s="15" t="n"/>
      <c r="F100" s="15" t="n"/>
      <c r="G100" s="15" t="n"/>
      <c r="H100" s="15" t="n"/>
      <c r="I100" s="15" t="n"/>
      <c r="J100" s="15" t="n"/>
      <c r="K100" s="15" t="n"/>
    </row>
    <row r="101">
      <c r="A101" s="15" t="n"/>
      <c r="B101" s="15" t="n"/>
      <c r="C101" s="15" t="n"/>
      <c r="D101" s="15" t="n"/>
      <c r="E101" s="15" t="n"/>
      <c r="F101" s="15" t="n"/>
      <c r="G101" s="15" t="n"/>
      <c r="H101" s="15" t="n"/>
      <c r="I101" s="15" t="n"/>
      <c r="J101" s="15" t="n"/>
      <c r="K101" s="15" t="n"/>
    </row>
    <row r="102">
      <c r="A102" s="15" t="n"/>
      <c r="B102" s="15" t="n"/>
      <c r="C102" s="15" t="n"/>
      <c r="D102" s="15" t="n"/>
      <c r="E102" s="15" t="n"/>
      <c r="F102" s="15" t="n"/>
      <c r="G102" s="15" t="n"/>
      <c r="H102" s="15" t="n"/>
      <c r="I102" s="15" t="n"/>
      <c r="J102" s="15" t="n"/>
      <c r="K102" s="15" t="n"/>
    </row>
    <row r="103">
      <c r="A103" s="15" t="n"/>
      <c r="B103" s="15" t="n"/>
      <c r="C103" s="15" t="n"/>
      <c r="D103" s="15" t="n"/>
      <c r="E103" s="15" t="n"/>
      <c r="F103" s="15" t="n"/>
      <c r="G103" s="15" t="n"/>
      <c r="H103" s="15" t="n"/>
      <c r="I103" s="15" t="n"/>
      <c r="J103" s="15" t="n"/>
      <c r="K103" s="15" t="n"/>
    </row>
    <row r="104">
      <c r="A104" s="15" t="n"/>
      <c r="B104" s="15" t="n"/>
      <c r="C104" s="15" t="n"/>
      <c r="D104" s="15" t="n"/>
      <c r="E104" s="15" t="n"/>
      <c r="F104" s="15" t="n"/>
      <c r="G104" s="15" t="n"/>
      <c r="H104" s="15" t="n"/>
      <c r="I104" s="15" t="n"/>
      <c r="J104" s="15" t="n"/>
      <c r="K104" s="15" t="n"/>
    </row>
    <row r="105">
      <c r="A105" s="15" t="n"/>
      <c r="B105" s="15" t="n"/>
      <c r="C105" s="15" t="n"/>
      <c r="D105" s="15" t="n"/>
      <c r="E105" s="15" t="n"/>
      <c r="F105" s="15" t="n"/>
      <c r="G105" s="15" t="n"/>
      <c r="H105" s="15" t="n"/>
      <c r="I105" s="15" t="n"/>
      <c r="J105" s="15" t="n"/>
      <c r="K105" s="15" t="n"/>
    </row>
    <row r="106">
      <c r="A106" s="15" t="n"/>
      <c r="B106" s="15" t="n"/>
      <c r="C106" s="15" t="n"/>
      <c r="D106" s="15" t="n"/>
      <c r="E106" s="15" t="n"/>
      <c r="F106" s="15" t="n"/>
      <c r="G106" s="15" t="n"/>
      <c r="H106" s="15" t="n"/>
      <c r="I106" s="15" t="n"/>
      <c r="J106" s="15" t="n"/>
      <c r="K106" s="15" t="n"/>
    </row>
    <row r="107">
      <c r="A107" s="15" t="n"/>
      <c r="B107" s="15" t="n"/>
      <c r="C107" s="15" t="n"/>
      <c r="D107" s="15" t="n"/>
      <c r="E107" s="15" t="n"/>
      <c r="F107" s="15" t="n"/>
      <c r="G107" s="15" t="n"/>
      <c r="H107" s="15" t="n"/>
      <c r="I107" s="15" t="n"/>
      <c r="J107" s="15" t="n"/>
      <c r="K107" s="15" t="n"/>
    </row>
    <row r="108">
      <c r="A108" s="15" t="n"/>
      <c r="B108" s="15" t="n"/>
      <c r="C108" s="15" t="n"/>
      <c r="D108" s="15" t="n"/>
      <c r="E108" s="15" t="n"/>
      <c r="F108" s="15" t="n"/>
      <c r="G108" s="15" t="n"/>
      <c r="H108" s="15" t="n"/>
      <c r="I108" s="15" t="n"/>
      <c r="J108" s="15" t="n"/>
      <c r="K108" s="15" t="n"/>
    </row>
    <row r="109">
      <c r="A109" s="15" t="n"/>
      <c r="B109" s="15" t="n"/>
      <c r="C109" s="15" t="n"/>
      <c r="D109" s="15" t="n"/>
      <c r="E109" s="15" t="n"/>
      <c r="F109" s="15" t="n"/>
      <c r="G109" s="15" t="n"/>
      <c r="H109" s="15" t="n"/>
      <c r="I109" s="15" t="n"/>
      <c r="J109" s="15" t="n"/>
      <c r="K109" s="15" t="n"/>
    </row>
    <row r="110">
      <c r="A110" s="15" t="n"/>
      <c r="B110" s="15" t="n"/>
      <c r="C110" s="15" t="n"/>
      <c r="D110" s="15" t="n"/>
      <c r="E110" s="15" t="n"/>
      <c r="F110" s="15" t="n"/>
      <c r="G110" s="15" t="n"/>
      <c r="H110" s="15" t="n"/>
      <c r="I110" s="15" t="n"/>
      <c r="J110" s="15" t="n"/>
      <c r="K110" s="15" t="n"/>
    </row>
    <row r="111">
      <c r="A111" s="15" t="n"/>
      <c r="B111" s="15" t="n"/>
      <c r="C111" s="15" t="n"/>
      <c r="D111" s="15" t="n"/>
      <c r="E111" s="15" t="n"/>
      <c r="F111" s="15" t="n"/>
      <c r="G111" s="15" t="n"/>
      <c r="H111" s="15" t="n"/>
      <c r="I111" s="15" t="n"/>
      <c r="J111" s="15" t="n"/>
      <c r="K111" s="15" t="n"/>
    </row>
    <row r="112">
      <c r="A112" s="15" t="n"/>
      <c r="B112" s="15" t="n"/>
      <c r="C112" s="15" t="n"/>
      <c r="D112" s="15" t="n"/>
      <c r="E112" s="15" t="n"/>
      <c r="F112" s="15" t="n"/>
      <c r="G112" s="15" t="n"/>
      <c r="H112" s="15" t="n"/>
      <c r="I112" s="15" t="n"/>
      <c r="J112" s="15" t="n"/>
      <c r="K112" s="15" t="n"/>
    </row>
    <row r="113">
      <c r="A113" s="15" t="n"/>
      <c r="B113" s="15" t="n"/>
      <c r="C113" s="15" t="n"/>
      <c r="D113" s="15" t="n"/>
      <c r="E113" s="15" t="n"/>
      <c r="F113" s="15" t="n"/>
      <c r="G113" s="15" t="n"/>
      <c r="H113" s="15" t="n"/>
      <c r="I113" s="15" t="n"/>
      <c r="J113" s="15" t="n"/>
      <c r="K113" s="15" t="n"/>
    </row>
    <row r="114">
      <c r="A114" s="15" t="n"/>
      <c r="B114" s="15" t="n"/>
      <c r="C114" s="15" t="n"/>
      <c r="D114" s="15" t="n"/>
      <c r="E114" s="15" t="n"/>
      <c r="F114" s="15" t="n"/>
      <c r="G114" s="15" t="n"/>
      <c r="H114" s="15" t="n"/>
      <c r="I114" s="15" t="n"/>
      <c r="J114" s="15" t="n"/>
      <c r="K114" s="15" t="n"/>
    </row>
    <row r="115">
      <c r="A115" s="15" t="n"/>
      <c r="B115" s="15" t="n"/>
      <c r="C115" s="15" t="n"/>
      <c r="D115" s="15" t="n"/>
      <c r="E115" s="15" t="n"/>
      <c r="F115" s="15" t="n"/>
      <c r="G115" s="15" t="n"/>
      <c r="H115" s="15" t="n"/>
      <c r="I115" s="15" t="n"/>
      <c r="J115" s="15" t="n"/>
      <c r="K115" s="15" t="n"/>
    </row>
    <row r="116">
      <c r="A116" s="15" t="n"/>
      <c r="B116" s="15" t="n"/>
      <c r="C116" s="15" t="n"/>
      <c r="D116" s="15" t="n"/>
      <c r="E116" s="15" t="n"/>
      <c r="F116" s="15" t="n"/>
      <c r="G116" s="15" t="n"/>
      <c r="H116" s="15" t="n"/>
      <c r="I116" s="15" t="n"/>
      <c r="J116" s="15" t="n"/>
      <c r="K116" s="15" t="n"/>
    </row>
    <row r="117">
      <c r="A117" s="15" t="n"/>
      <c r="B117" s="15" t="n"/>
      <c r="C117" s="15" t="n"/>
      <c r="D117" s="15" t="n"/>
      <c r="E117" s="15" t="n"/>
      <c r="F117" s="15" t="n"/>
      <c r="G117" s="15" t="n"/>
      <c r="H117" s="15" t="n"/>
      <c r="I117" s="15" t="n"/>
      <c r="J117" s="15" t="n"/>
      <c r="K117" s="15" t="n"/>
    </row>
    <row r="118">
      <c r="A118" s="15" t="n"/>
      <c r="B118" s="15" t="n"/>
      <c r="C118" s="15" t="n"/>
      <c r="D118" s="15" t="n"/>
      <c r="E118" s="15" t="n"/>
      <c r="F118" s="15" t="n"/>
      <c r="G118" s="15" t="n"/>
      <c r="H118" s="15" t="n"/>
      <c r="I118" s="15" t="n"/>
      <c r="J118" s="15" t="n"/>
      <c r="K118" s="15" t="n"/>
    </row>
    <row r="119">
      <c r="A119" s="15" t="n"/>
      <c r="B119" s="15" t="n"/>
      <c r="C119" s="15" t="n"/>
      <c r="D119" s="15" t="n"/>
      <c r="E119" s="15" t="n"/>
      <c r="F119" s="15" t="n"/>
      <c r="G119" s="15" t="n"/>
      <c r="H119" s="15" t="n"/>
      <c r="I119" s="15" t="n"/>
      <c r="J119" s="15" t="n"/>
      <c r="K119" s="15" t="n"/>
    </row>
    <row r="120">
      <c r="A120" s="15" t="n"/>
      <c r="B120" s="15" t="n"/>
      <c r="C120" s="15" t="n"/>
      <c r="D120" s="15" t="n"/>
      <c r="E120" s="15" t="n"/>
      <c r="F120" s="15" t="n"/>
      <c r="G120" s="15" t="n"/>
      <c r="H120" s="15" t="n"/>
      <c r="I120" s="15" t="n"/>
      <c r="J120" s="15" t="n"/>
      <c r="K120" s="15" t="n"/>
    </row>
    <row r="121">
      <c r="A121" s="15" t="n"/>
      <c r="B121" s="15" t="n"/>
      <c r="C121" s="15" t="n"/>
      <c r="D121" s="15" t="n"/>
      <c r="E121" s="15" t="n"/>
      <c r="F121" s="15" t="n"/>
      <c r="G121" s="15" t="n"/>
      <c r="H121" s="15" t="n"/>
      <c r="I121" s="15" t="n"/>
      <c r="J121" s="15" t="n"/>
      <c r="K121" s="15" t="n"/>
    </row>
    <row r="122">
      <c r="A122" s="15" t="n"/>
      <c r="B122" s="15" t="n"/>
      <c r="C122" s="15" t="n"/>
      <c r="D122" s="15" t="n"/>
      <c r="E122" s="15" t="n"/>
      <c r="F122" s="15" t="n"/>
      <c r="G122" s="15" t="n"/>
      <c r="H122" s="15" t="n"/>
      <c r="I122" s="15" t="n"/>
      <c r="J122" s="15" t="n"/>
      <c r="K122" s="15" t="n"/>
    </row>
    <row r="123">
      <c r="A123" s="15" t="n"/>
      <c r="B123" s="15" t="n"/>
      <c r="C123" s="15" t="n"/>
      <c r="D123" s="15" t="n"/>
      <c r="E123" s="15" t="n"/>
      <c r="F123" s="15" t="n"/>
      <c r="G123" s="15" t="n"/>
      <c r="H123" s="15" t="n"/>
      <c r="I123" s="15" t="n"/>
      <c r="J123" s="15" t="n"/>
      <c r="K123" s="15" t="n"/>
    </row>
    <row r="124">
      <c r="A124" s="15" t="n"/>
      <c r="B124" s="15" t="n"/>
      <c r="C124" s="15" t="n"/>
      <c r="D124" s="15" t="n"/>
      <c r="E124" s="15" t="n"/>
      <c r="F124" s="15" t="n"/>
      <c r="G124" s="15" t="n"/>
      <c r="H124" s="15" t="n"/>
      <c r="I124" s="15" t="n"/>
      <c r="J124" s="15" t="n"/>
      <c r="K124" s="15" t="n"/>
    </row>
    <row r="125">
      <c r="A125" s="15" t="n"/>
      <c r="B125" s="15" t="n"/>
      <c r="C125" s="15" t="n"/>
      <c r="D125" s="15" t="n"/>
      <c r="E125" s="15" t="n"/>
      <c r="F125" s="15" t="n"/>
      <c r="G125" s="15" t="n"/>
      <c r="H125" s="15" t="n"/>
      <c r="I125" s="15" t="n"/>
      <c r="J125" s="15" t="n"/>
      <c r="K125" s="15" t="n"/>
    </row>
    <row r="126">
      <c r="A126" s="15" t="n"/>
      <c r="B126" s="15" t="n"/>
      <c r="C126" s="15" t="n"/>
      <c r="D126" s="15" t="n"/>
      <c r="E126" s="15" t="n"/>
      <c r="F126" s="15" t="n"/>
      <c r="G126" s="15" t="n"/>
      <c r="H126" s="15" t="n"/>
      <c r="I126" s="15" t="n"/>
      <c r="J126" s="15" t="n"/>
      <c r="K126" s="15" t="n"/>
    </row>
    <row r="127">
      <c r="A127" s="15" t="n"/>
      <c r="B127" s="15" t="n"/>
      <c r="C127" s="15" t="n"/>
      <c r="D127" s="15" t="n"/>
      <c r="E127" s="15" t="n"/>
      <c r="F127" s="15" t="n"/>
      <c r="G127" s="15" t="n"/>
      <c r="H127" s="15" t="n"/>
      <c r="I127" s="15" t="n"/>
      <c r="J127" s="15" t="n"/>
      <c r="K127" s="15" t="n"/>
    </row>
    <row r="128">
      <c r="A128" s="15" t="n"/>
      <c r="B128" s="15" t="n"/>
      <c r="C128" s="15" t="n"/>
      <c r="D128" s="15" t="n"/>
      <c r="E128" s="15" t="n"/>
      <c r="F128" s="15" t="n"/>
      <c r="G128" s="15" t="n"/>
      <c r="H128" s="15" t="n"/>
      <c r="I128" s="15" t="n"/>
      <c r="J128" s="15" t="n"/>
      <c r="K128" s="15" t="n"/>
    </row>
    <row r="129">
      <c r="A129" s="15" t="n"/>
      <c r="B129" s="15" t="n"/>
      <c r="C129" s="15" t="n"/>
      <c r="D129" s="15" t="n"/>
      <c r="E129" s="15" t="n"/>
      <c r="F129" s="15" t="n"/>
      <c r="G129" s="15" t="n"/>
      <c r="H129" s="15" t="n"/>
      <c r="I129" s="15" t="n"/>
      <c r="J129" s="15" t="n"/>
      <c r="K129" s="15" t="n"/>
    </row>
    <row r="130">
      <c r="A130" s="15" t="n"/>
      <c r="B130" s="15" t="n"/>
      <c r="C130" s="15" t="n"/>
      <c r="D130" s="15" t="n"/>
      <c r="E130" s="15" t="n"/>
      <c r="F130" s="15" t="n"/>
      <c r="G130" s="15" t="n"/>
      <c r="H130" s="15" t="n"/>
      <c r="I130" s="15" t="n"/>
      <c r="J130" s="15" t="n"/>
      <c r="K130" s="15" t="n"/>
    </row>
    <row r="131">
      <c r="A131" s="15" t="n"/>
      <c r="B131" s="15" t="n"/>
      <c r="C131" s="15" t="n"/>
      <c r="D131" s="15" t="n"/>
      <c r="E131" s="15" t="n"/>
      <c r="F131" s="15" t="n"/>
      <c r="G131" s="15" t="n"/>
      <c r="H131" s="15" t="n"/>
      <c r="I131" s="15" t="n"/>
      <c r="J131" s="15" t="n"/>
      <c r="K131" s="15" t="n"/>
    </row>
    <row r="132">
      <c r="A132" s="15" t="n"/>
      <c r="B132" s="15" t="n"/>
      <c r="C132" s="15" t="n"/>
      <c r="D132" s="15" t="n"/>
      <c r="E132" s="15" t="n"/>
      <c r="F132" s="15" t="n"/>
      <c r="G132" s="15" t="n"/>
      <c r="H132" s="15" t="n"/>
      <c r="I132" s="15" t="n"/>
      <c r="J132" s="15" t="n"/>
      <c r="K132" s="15" t="n"/>
    </row>
    <row r="133">
      <c r="A133" s="15" t="n"/>
      <c r="B133" s="15" t="n"/>
      <c r="C133" s="15" t="n"/>
      <c r="D133" s="15" t="n"/>
      <c r="E133" s="15" t="n"/>
      <c r="F133" s="15" t="n"/>
      <c r="G133" s="15" t="n"/>
      <c r="H133" s="15" t="n"/>
      <c r="I133" s="15" t="n"/>
      <c r="J133" s="15" t="n"/>
      <c r="K133" s="15" t="n"/>
    </row>
    <row r="134">
      <c r="A134" s="15" t="n"/>
      <c r="B134" s="15" t="n"/>
      <c r="C134" s="15" t="n"/>
      <c r="D134" s="15" t="n"/>
      <c r="E134" s="15" t="n"/>
      <c r="F134" s="15" t="n"/>
      <c r="G134" s="15" t="n"/>
      <c r="H134" s="15" t="n"/>
      <c r="I134" s="15" t="n"/>
      <c r="J134" s="15" t="n"/>
      <c r="K134" s="15" t="n"/>
    </row>
    <row r="135">
      <c r="A135" s="15" t="n"/>
      <c r="B135" s="15" t="n"/>
      <c r="C135" s="15" t="n"/>
      <c r="D135" s="15" t="n"/>
      <c r="E135" s="15" t="n"/>
      <c r="F135" s="15" t="n"/>
      <c r="G135" s="15" t="n"/>
      <c r="H135" s="15" t="n"/>
      <c r="I135" s="15" t="n"/>
      <c r="J135" s="15" t="n"/>
      <c r="K135" s="15" t="n"/>
    </row>
    <row r="136">
      <c r="A136" s="15" t="n"/>
      <c r="B136" s="15" t="n"/>
      <c r="C136" s="15" t="n"/>
      <c r="D136" s="15" t="n"/>
      <c r="E136" s="15" t="n"/>
      <c r="F136" s="15" t="n"/>
      <c r="G136" s="15" t="n"/>
      <c r="H136" s="15" t="n"/>
      <c r="I136" s="15" t="n"/>
      <c r="J136" s="15" t="n"/>
      <c r="K136" s="15" t="n"/>
    </row>
    <row r="137">
      <c r="A137" s="15" t="n"/>
      <c r="B137" s="15" t="n"/>
      <c r="C137" s="15" t="n"/>
      <c r="D137" s="15" t="n"/>
      <c r="E137" s="15" t="n"/>
      <c r="F137" s="15" t="n"/>
      <c r="G137" s="15" t="n"/>
      <c r="H137" s="15" t="n"/>
      <c r="I137" s="15" t="n"/>
      <c r="J137" s="15" t="n"/>
      <c r="K137" s="15" t="n"/>
    </row>
    <row r="138">
      <c r="A138" s="15" t="n"/>
      <c r="B138" s="15" t="n"/>
      <c r="C138" s="15" t="n"/>
      <c r="D138" s="15" t="n"/>
      <c r="E138" s="15" t="n"/>
      <c r="F138" s="15" t="n"/>
      <c r="G138" s="15" t="n"/>
      <c r="H138" s="15" t="n"/>
      <c r="I138" s="15" t="n"/>
      <c r="J138" s="15" t="n"/>
      <c r="K138" s="15" t="n"/>
    </row>
    <row r="139">
      <c r="A139" s="15" t="n"/>
      <c r="B139" s="15" t="n"/>
      <c r="C139" s="15" t="n"/>
      <c r="D139" s="15" t="n"/>
      <c r="E139" s="15" t="n"/>
      <c r="F139" s="15" t="n"/>
      <c r="G139" s="15" t="n"/>
      <c r="H139" s="15" t="n"/>
      <c r="I139" s="15" t="n"/>
      <c r="J139" s="15" t="n"/>
      <c r="K139" s="15" t="n"/>
    </row>
    <row r="140">
      <c r="A140" s="15" t="n"/>
      <c r="B140" s="15" t="n"/>
      <c r="C140" s="15" t="n"/>
      <c r="D140" s="15" t="n"/>
      <c r="E140" s="15" t="n"/>
      <c r="F140" s="15" t="n"/>
      <c r="G140" s="15" t="n"/>
      <c r="H140" s="15" t="n"/>
      <c r="I140" s="15" t="n"/>
      <c r="J140" s="15" t="n"/>
      <c r="K140" s="15" t="n"/>
    </row>
    <row r="141">
      <c r="A141" s="15" t="n"/>
      <c r="B141" s="15" t="n"/>
      <c r="C141" s="15" t="n"/>
      <c r="D141" s="15" t="n"/>
      <c r="E141" s="15" t="n"/>
      <c r="F141" s="15" t="n"/>
      <c r="G141" s="15" t="n"/>
      <c r="H141" s="15" t="n"/>
      <c r="I141" s="15" t="n"/>
      <c r="J141" s="15" t="n"/>
      <c r="K141" s="15" t="n"/>
    </row>
    <row r="142">
      <c r="A142" s="15" t="n"/>
      <c r="B142" s="15" t="n"/>
      <c r="C142" s="15" t="n"/>
      <c r="D142" s="15" t="n"/>
      <c r="E142" s="15" t="n"/>
      <c r="F142" s="15" t="n"/>
      <c r="G142" s="15" t="n"/>
      <c r="H142" s="15" t="n"/>
      <c r="I142" s="15" t="n"/>
      <c r="J142" s="15" t="n"/>
      <c r="K142" s="15" t="n"/>
    </row>
    <row r="143">
      <c r="A143" s="15" t="n"/>
      <c r="B143" s="15" t="n"/>
      <c r="C143" s="15" t="n"/>
      <c r="D143" s="15" t="n"/>
      <c r="E143" s="15" t="n"/>
      <c r="F143" s="15" t="n"/>
      <c r="G143" s="15" t="n"/>
      <c r="H143" s="15" t="n"/>
      <c r="I143" s="15" t="n"/>
      <c r="J143" s="15" t="n"/>
      <c r="K143" s="15" t="n"/>
    </row>
    <row r="144">
      <c r="A144" s="15" t="n"/>
      <c r="B144" s="15" t="n"/>
      <c r="C144" s="15" t="n"/>
      <c r="D144" s="15" t="n"/>
      <c r="E144" s="15" t="n"/>
      <c r="F144" s="15" t="n"/>
      <c r="G144" s="15" t="n"/>
      <c r="H144" s="15" t="n"/>
      <c r="I144" s="15" t="n"/>
      <c r="J144" s="15" t="n"/>
      <c r="K144" s="15" t="n"/>
    </row>
    <row r="145">
      <c r="A145" s="15" t="n"/>
      <c r="B145" s="15" t="n"/>
      <c r="C145" s="15" t="n"/>
      <c r="D145" s="15" t="n"/>
      <c r="E145" s="15" t="n"/>
      <c r="F145" s="15" t="n"/>
      <c r="G145" s="15" t="n"/>
      <c r="H145" s="15" t="n"/>
      <c r="I145" s="15" t="n"/>
      <c r="J145" s="15" t="n"/>
      <c r="K145" s="15" t="n"/>
    </row>
    <row r="146">
      <c r="A146" s="15" t="n"/>
      <c r="B146" s="15" t="n"/>
      <c r="C146" s="15" t="n"/>
      <c r="D146" s="15" t="n"/>
      <c r="E146" s="15" t="n"/>
      <c r="F146" s="15" t="n"/>
      <c r="G146" s="15" t="n"/>
      <c r="H146" s="15" t="n"/>
      <c r="I146" s="15" t="n"/>
      <c r="J146" s="15" t="n"/>
      <c r="K146" s="15" t="n"/>
    </row>
    <row r="147">
      <c r="A147" s="15" t="n"/>
      <c r="B147" s="15" t="n"/>
      <c r="C147" s="15" t="n"/>
      <c r="D147" s="15" t="n"/>
      <c r="E147" s="15" t="n"/>
      <c r="F147" s="15" t="n"/>
      <c r="G147" s="15" t="n"/>
      <c r="H147" s="15" t="n"/>
      <c r="I147" s="15" t="n"/>
      <c r="J147" s="15" t="n"/>
      <c r="K147" s="15" t="n"/>
    </row>
    <row r="148">
      <c r="A148" s="15" t="n"/>
      <c r="B148" s="15" t="n"/>
      <c r="C148" s="15" t="n"/>
      <c r="D148" s="15" t="n"/>
      <c r="E148" s="15" t="n"/>
      <c r="F148" s="15" t="n"/>
      <c r="G148" s="15" t="n"/>
      <c r="H148" s="15" t="n"/>
      <c r="I148" s="15" t="n"/>
      <c r="J148" s="15" t="n"/>
      <c r="K148" s="15" t="n"/>
    </row>
    <row r="149">
      <c r="A149" s="15" t="n"/>
      <c r="B149" s="15" t="n"/>
      <c r="C149" s="15" t="n"/>
      <c r="D149" s="15" t="n"/>
      <c r="E149" s="15" t="n"/>
      <c r="F149" s="15" t="n"/>
      <c r="G149" s="15" t="n"/>
      <c r="H149" s="15" t="n"/>
      <c r="I149" s="15" t="n"/>
      <c r="J149" s="15" t="n"/>
      <c r="K149" s="15" t="n"/>
    </row>
    <row r="150">
      <c r="A150" s="15" t="n"/>
      <c r="B150" s="15" t="n"/>
      <c r="C150" s="15" t="n"/>
      <c r="D150" s="15" t="n"/>
      <c r="E150" s="15" t="n"/>
      <c r="F150" s="15" t="n"/>
      <c r="G150" s="15" t="n"/>
      <c r="H150" s="15" t="n"/>
      <c r="I150" s="15" t="n"/>
      <c r="J150" s="15" t="n"/>
      <c r="K150" s="15" t="n"/>
    </row>
    <row r="151">
      <c r="A151" s="15" t="n"/>
      <c r="B151" s="15" t="n"/>
      <c r="C151" s="15" t="n"/>
      <c r="D151" s="15" t="n"/>
      <c r="E151" s="15" t="n"/>
      <c r="F151" s="15" t="n"/>
      <c r="G151" s="15" t="n"/>
      <c r="H151" s="15" t="n"/>
      <c r="I151" s="15" t="n"/>
      <c r="J151" s="15" t="n"/>
      <c r="K151" s="15" t="n"/>
    </row>
    <row r="152">
      <c r="A152" s="15" t="n"/>
      <c r="B152" s="15" t="n"/>
      <c r="C152" s="15" t="n"/>
      <c r="D152" s="15" t="n"/>
      <c r="E152" s="15" t="n"/>
      <c r="F152" s="15" t="n"/>
      <c r="G152" s="15" t="n"/>
      <c r="H152" s="15" t="n"/>
      <c r="I152" s="15" t="n"/>
      <c r="J152" s="15" t="n"/>
      <c r="K152" s="15" t="n"/>
    </row>
    <row r="153">
      <c r="A153" s="15" t="n"/>
      <c r="B153" s="15" t="n"/>
      <c r="C153" s="15" t="n"/>
      <c r="D153" s="15" t="n"/>
      <c r="E153" s="15" t="n"/>
      <c r="F153" s="15" t="n"/>
      <c r="G153" s="15" t="n"/>
      <c r="H153" s="15" t="n"/>
      <c r="I153" s="15" t="n"/>
      <c r="J153" s="15" t="n"/>
      <c r="K153" s="15" t="n"/>
    </row>
    <row r="154">
      <c r="A154" s="15" t="n"/>
      <c r="B154" s="15" t="n"/>
      <c r="C154" s="15" t="n"/>
      <c r="D154" s="15" t="n"/>
      <c r="E154" s="15" t="n"/>
      <c r="F154" s="15" t="n"/>
      <c r="G154" s="15" t="n"/>
      <c r="H154" s="15" t="n"/>
      <c r="I154" s="15" t="n"/>
      <c r="J154" s="15" t="n"/>
      <c r="K154" s="15" t="n"/>
    </row>
    <row r="155">
      <c r="A155" s="15" t="n"/>
      <c r="B155" s="15" t="n"/>
      <c r="C155" s="15" t="n"/>
      <c r="D155" s="15" t="n"/>
      <c r="E155" s="15" t="n"/>
      <c r="F155" s="15" t="n"/>
      <c r="G155" s="15" t="n"/>
      <c r="H155" s="15" t="n"/>
      <c r="I155" s="15" t="n"/>
      <c r="J155" s="15" t="n"/>
      <c r="K155" s="15" t="n"/>
    </row>
    <row r="156">
      <c r="A156" s="15" t="n"/>
      <c r="B156" s="15" t="n"/>
      <c r="C156" s="15" t="n"/>
      <c r="D156" s="15" t="n"/>
      <c r="E156" s="15" t="n"/>
      <c r="F156" s="15" t="n"/>
      <c r="G156" s="15" t="n"/>
      <c r="H156" s="15" t="n"/>
      <c r="I156" s="15" t="n"/>
      <c r="J156" s="15" t="n"/>
      <c r="K156" s="15" t="n"/>
    </row>
    <row r="157">
      <c r="A157" s="15" t="n"/>
      <c r="B157" s="15" t="n"/>
      <c r="C157" s="15" t="n"/>
      <c r="D157" s="15" t="n"/>
      <c r="E157" s="15" t="n"/>
      <c r="F157" s="15" t="n"/>
      <c r="G157" s="15" t="n"/>
      <c r="H157" s="15" t="n"/>
      <c r="I157" s="15" t="n"/>
      <c r="J157" s="15" t="n"/>
      <c r="K157" s="15" t="n"/>
    </row>
    <row r="158">
      <c r="A158" s="15" t="n"/>
      <c r="B158" s="15" t="n"/>
      <c r="C158" s="15" t="n"/>
      <c r="D158" s="15" t="n"/>
      <c r="E158" s="15" t="n"/>
      <c r="F158" s="15" t="n"/>
      <c r="G158" s="15" t="n"/>
      <c r="H158" s="15" t="n"/>
      <c r="I158" s="15" t="n"/>
      <c r="J158" s="15" t="n"/>
      <c r="K158" s="15" t="n"/>
    </row>
    <row r="159">
      <c r="A159" s="15" t="n"/>
      <c r="B159" s="15" t="n"/>
      <c r="C159" s="15" t="n"/>
      <c r="D159" s="15" t="n"/>
      <c r="E159" s="15" t="n"/>
      <c r="F159" s="15" t="n"/>
      <c r="G159" s="15" t="n"/>
      <c r="H159" s="15" t="n"/>
      <c r="I159" s="15" t="n"/>
      <c r="J159" s="15" t="n"/>
      <c r="K159" s="15" t="n"/>
    </row>
    <row r="160">
      <c r="A160" s="15" t="n"/>
      <c r="B160" s="15" t="n"/>
      <c r="C160" s="15" t="n"/>
      <c r="D160" s="15" t="n"/>
      <c r="E160" s="15" t="n"/>
      <c r="F160" s="15" t="n"/>
      <c r="G160" s="15" t="n"/>
      <c r="H160" s="15" t="n"/>
      <c r="I160" s="15" t="n"/>
      <c r="J160" s="15" t="n"/>
      <c r="K160" s="15" t="n"/>
    </row>
    <row r="161">
      <c r="A161" s="15" t="n"/>
      <c r="B161" s="15" t="n"/>
      <c r="C161" s="15" t="n"/>
      <c r="D161" s="15" t="n"/>
      <c r="E161" s="15" t="n"/>
      <c r="F161" s="15" t="n"/>
      <c r="G161" s="15" t="n"/>
      <c r="H161" s="15" t="n"/>
      <c r="I161" s="15" t="n"/>
      <c r="J161" s="15" t="n"/>
      <c r="K161" s="15" t="n"/>
    </row>
    <row r="162">
      <c r="A162" s="15" t="n"/>
      <c r="B162" s="15" t="n"/>
      <c r="C162" s="15" t="n"/>
      <c r="D162" s="15" t="n"/>
      <c r="E162" s="15" t="n"/>
      <c r="F162" s="15" t="n"/>
      <c r="G162" s="15" t="n"/>
      <c r="H162" s="15" t="n"/>
      <c r="I162" s="15" t="n"/>
      <c r="J162" s="15" t="n"/>
      <c r="K162" s="15" t="n"/>
    </row>
    <row r="163">
      <c r="A163" s="15" t="n"/>
      <c r="B163" s="15" t="n"/>
      <c r="C163" s="15" t="n"/>
      <c r="D163" s="15" t="n"/>
      <c r="E163" s="15" t="n"/>
      <c r="F163" s="15" t="n"/>
      <c r="G163" s="15" t="n"/>
      <c r="H163" s="15" t="n"/>
      <c r="I163" s="15" t="n"/>
      <c r="J163" s="15" t="n"/>
      <c r="K163" s="15" t="n"/>
    </row>
    <row r="164">
      <c r="A164" s="15" t="n"/>
      <c r="B164" s="15" t="n"/>
      <c r="C164" s="15" t="n"/>
      <c r="D164" s="15" t="n"/>
      <c r="E164" s="15" t="n"/>
      <c r="F164" s="15" t="n"/>
      <c r="G164" s="15" t="n"/>
      <c r="H164" s="15" t="n"/>
      <c r="I164" s="15" t="n"/>
      <c r="J164" s="15" t="n"/>
      <c r="K164" s="15" t="n"/>
    </row>
    <row r="165">
      <c r="A165" s="15" t="n"/>
      <c r="B165" s="15" t="n"/>
      <c r="C165" s="15" t="n"/>
      <c r="D165" s="15" t="n"/>
      <c r="E165" s="15" t="n"/>
      <c r="F165" s="15" t="n"/>
      <c r="G165" s="15" t="n"/>
      <c r="H165" s="15" t="n"/>
      <c r="I165" s="15" t="n"/>
      <c r="J165" s="15" t="n"/>
      <c r="K165" s="15" t="n"/>
    </row>
    <row r="166">
      <c r="A166" s="15" t="n"/>
      <c r="B166" s="15" t="n"/>
      <c r="C166" s="15" t="n"/>
      <c r="D166" s="15" t="n"/>
      <c r="E166" s="15" t="n"/>
      <c r="F166" s="15" t="n"/>
      <c r="G166" s="15" t="n"/>
      <c r="H166" s="15" t="n"/>
      <c r="I166" s="15" t="n"/>
      <c r="J166" s="15" t="n"/>
      <c r="K166" s="15" t="n"/>
    </row>
    <row r="167">
      <c r="A167" s="15" t="n"/>
      <c r="B167" s="15" t="n"/>
      <c r="C167" s="15" t="n"/>
      <c r="D167" s="15" t="n"/>
      <c r="E167" s="15" t="n"/>
      <c r="F167" s="15" t="n"/>
      <c r="G167" s="15" t="n"/>
      <c r="H167" s="15" t="n"/>
      <c r="I167" s="15" t="n"/>
      <c r="J167" s="15" t="n"/>
      <c r="K167" s="15" t="n"/>
    </row>
    <row r="168">
      <c r="A168" s="15" t="n"/>
      <c r="B168" s="15" t="n"/>
      <c r="C168" s="15" t="n"/>
      <c r="D168" s="15" t="n"/>
      <c r="E168" s="15" t="n"/>
      <c r="F168" s="15" t="n"/>
      <c r="G168" s="15" t="n"/>
      <c r="H168" s="15" t="n"/>
      <c r="I168" s="15" t="n"/>
      <c r="J168" s="15" t="n"/>
      <c r="K168" s="15" t="n"/>
    </row>
    <row r="169">
      <c r="A169" s="15" t="n"/>
      <c r="B169" s="15" t="n"/>
      <c r="C169" s="15" t="n"/>
      <c r="D169" s="15" t="n"/>
      <c r="E169" s="15" t="n"/>
      <c r="F169" s="15" t="n"/>
      <c r="G169" s="15" t="n"/>
      <c r="H169" s="15" t="n"/>
      <c r="I169" s="15" t="n"/>
      <c r="J169" s="15" t="n"/>
      <c r="K169" s="15" t="n"/>
    </row>
    <row r="170">
      <c r="A170" s="15" t="n"/>
      <c r="B170" s="15" t="n"/>
      <c r="C170" s="15" t="n"/>
      <c r="D170" s="15" t="n"/>
      <c r="E170" s="15" t="n"/>
      <c r="F170" s="15" t="n"/>
      <c r="G170" s="15" t="n"/>
      <c r="H170" s="15" t="n"/>
      <c r="I170" s="15" t="n"/>
      <c r="J170" s="15" t="n"/>
      <c r="K170" s="15" t="n"/>
    </row>
    <row r="171">
      <c r="A171" s="15" t="n"/>
      <c r="B171" s="15" t="n"/>
      <c r="C171" s="15" t="n"/>
      <c r="D171" s="15" t="n"/>
      <c r="E171" s="15" t="n"/>
      <c r="F171" s="15" t="n"/>
      <c r="G171" s="15" t="n"/>
      <c r="H171" s="15" t="n"/>
      <c r="I171" s="15" t="n"/>
      <c r="J171" s="15" t="n"/>
      <c r="K171" s="15" t="n"/>
    </row>
    <row r="172">
      <c r="A172" s="15" t="n"/>
      <c r="B172" s="15" t="n"/>
      <c r="C172" s="15" t="n"/>
      <c r="D172" s="15" t="n"/>
      <c r="E172" s="15" t="n"/>
      <c r="F172" s="15" t="n"/>
      <c r="G172" s="15" t="n"/>
      <c r="H172" s="15" t="n"/>
      <c r="I172" s="15" t="n"/>
      <c r="J172" s="15" t="n"/>
      <c r="K172" s="15" t="n"/>
    </row>
    <row r="173">
      <c r="A173" s="15" t="n"/>
      <c r="B173" s="15" t="n"/>
      <c r="C173" s="15" t="n"/>
      <c r="D173" s="15" t="n"/>
      <c r="E173" s="15" t="n"/>
      <c r="F173" s="15" t="n"/>
      <c r="G173" s="15" t="n"/>
      <c r="H173" s="15" t="n"/>
      <c r="I173" s="15" t="n"/>
      <c r="J173" s="15" t="n"/>
      <c r="K173" s="15" t="n"/>
    </row>
    <row r="174">
      <c r="A174" s="15" t="n"/>
      <c r="B174" s="15" t="n"/>
      <c r="C174" s="15" t="n"/>
      <c r="D174" s="15" t="n"/>
      <c r="E174" s="15" t="n"/>
      <c r="F174" s="15" t="n"/>
      <c r="G174" s="15" t="n"/>
      <c r="H174" s="15" t="n"/>
      <c r="I174" s="15" t="n"/>
      <c r="J174" s="15" t="n"/>
      <c r="K174" s="15" t="n"/>
    </row>
    <row r="175">
      <c r="A175" s="15" t="n"/>
      <c r="B175" s="15" t="n"/>
      <c r="C175" s="15" t="n"/>
      <c r="D175" s="15" t="n"/>
      <c r="E175" s="15" t="n"/>
      <c r="F175" s="15" t="n"/>
      <c r="G175" s="15" t="n"/>
      <c r="H175" s="15" t="n"/>
      <c r="I175" s="15" t="n"/>
      <c r="J175" s="15" t="n"/>
      <c r="K175" s="15" t="n"/>
    </row>
    <row r="176">
      <c r="A176" s="15" t="n"/>
      <c r="B176" s="15" t="n"/>
      <c r="C176" s="15" t="n"/>
      <c r="D176" s="15" t="n"/>
      <c r="E176" s="15" t="n"/>
      <c r="F176" s="15" t="n"/>
      <c r="G176" s="15" t="n"/>
      <c r="H176" s="15" t="n"/>
      <c r="I176" s="15" t="n"/>
      <c r="J176" s="15" t="n"/>
      <c r="K176" s="15" t="n"/>
    </row>
    <row r="177">
      <c r="A177" s="15" t="n"/>
      <c r="B177" s="15" t="n"/>
      <c r="C177" s="15" t="n"/>
      <c r="D177" s="15" t="n"/>
      <c r="E177" s="15" t="n"/>
      <c r="F177" s="15" t="n"/>
      <c r="G177" s="15" t="n"/>
      <c r="H177" s="15" t="n"/>
      <c r="I177" s="15" t="n"/>
      <c r="J177" s="15" t="n"/>
      <c r="K177" s="15" t="n"/>
    </row>
    <row r="178">
      <c r="A178" s="15" t="n"/>
      <c r="B178" s="15" t="n"/>
      <c r="C178" s="15" t="n"/>
      <c r="D178" s="15" t="n"/>
      <c r="E178" s="15" t="n"/>
      <c r="F178" s="15" t="n"/>
      <c r="G178" s="15" t="n"/>
      <c r="H178" s="15" t="n"/>
      <c r="I178" s="15" t="n"/>
      <c r="J178" s="15" t="n"/>
      <c r="K178" s="15" t="n"/>
    </row>
    <row r="179">
      <c r="A179" s="15" t="n"/>
      <c r="B179" s="15" t="n"/>
      <c r="C179" s="15" t="n"/>
      <c r="D179" s="15" t="n"/>
      <c r="E179" s="15" t="n"/>
      <c r="F179" s="15" t="n"/>
      <c r="G179" s="15" t="n"/>
      <c r="H179" s="15" t="n"/>
      <c r="I179" s="15" t="n"/>
      <c r="J179" s="15" t="n"/>
      <c r="K179" s="15" t="n"/>
    </row>
    <row r="180">
      <c r="A180" s="15" t="n"/>
      <c r="B180" s="15" t="n"/>
      <c r="C180" s="15" t="n"/>
      <c r="D180" s="15" t="n"/>
      <c r="E180" s="15" t="n"/>
      <c r="F180" s="15" t="n"/>
      <c r="G180" s="15" t="n"/>
      <c r="H180" s="15" t="n"/>
      <c r="I180" s="15" t="n"/>
      <c r="J180" s="15" t="n"/>
      <c r="K180" s="15" t="n"/>
    </row>
    <row r="181">
      <c r="A181" s="15" t="n"/>
      <c r="B181" s="15" t="n"/>
      <c r="C181" s="15" t="n"/>
      <c r="D181" s="15" t="n"/>
      <c r="E181" s="15" t="n"/>
      <c r="F181" s="15" t="n"/>
      <c r="G181" s="15" t="n"/>
      <c r="H181" s="15" t="n"/>
      <c r="I181" s="15" t="n"/>
      <c r="J181" s="15" t="n"/>
      <c r="K181" s="15" t="n"/>
    </row>
    <row r="182">
      <c r="A182" s="15" t="n"/>
      <c r="B182" s="15" t="n"/>
      <c r="C182" s="15" t="n"/>
      <c r="D182" s="15" t="n"/>
      <c r="E182" s="15" t="n"/>
      <c r="F182" s="15" t="n"/>
      <c r="G182" s="15" t="n"/>
      <c r="H182" s="15" t="n"/>
      <c r="I182" s="15" t="n"/>
      <c r="J182" s="15" t="n"/>
      <c r="K182" s="15" t="n"/>
    </row>
    <row r="183">
      <c r="A183" s="15" t="n"/>
      <c r="B183" s="15" t="n"/>
      <c r="C183" s="15" t="n"/>
      <c r="D183" s="15" t="n"/>
      <c r="E183" s="15" t="n"/>
      <c r="F183" s="15" t="n"/>
      <c r="G183" s="15" t="n"/>
      <c r="H183" s="15" t="n"/>
      <c r="I183" s="15" t="n"/>
      <c r="J183" s="15" t="n"/>
      <c r="K183" s="15" t="n"/>
    </row>
    <row r="184">
      <c r="A184" s="15" t="n"/>
      <c r="B184" s="15" t="n"/>
      <c r="C184" s="15" t="n"/>
      <c r="D184" s="15" t="n"/>
      <c r="E184" s="15" t="n"/>
      <c r="F184" s="15" t="n"/>
      <c r="G184" s="15" t="n"/>
      <c r="H184" s="15" t="n"/>
      <c r="I184" s="15" t="n"/>
      <c r="J184" s="15" t="n"/>
      <c r="K184" s="15" t="n"/>
    </row>
    <row r="185">
      <c r="A185" s="15" t="n"/>
      <c r="B185" s="15" t="n"/>
      <c r="C185" s="15" t="n"/>
      <c r="D185" s="15" t="n"/>
      <c r="E185" s="15" t="n"/>
      <c r="F185" s="15" t="n"/>
      <c r="G185" s="15" t="n"/>
      <c r="H185" s="15" t="n"/>
      <c r="I185" s="15" t="n"/>
      <c r="J185" s="15" t="n"/>
      <c r="K185" s="15" t="n"/>
    </row>
    <row r="186">
      <c r="A186" s="15" t="n"/>
      <c r="B186" s="15" t="n"/>
      <c r="C186" s="15" t="n"/>
      <c r="D186" s="15" t="n"/>
      <c r="E186" s="15" t="n"/>
      <c r="F186" s="15" t="n"/>
      <c r="G186" s="15" t="n"/>
      <c r="H186" s="15" t="n"/>
      <c r="I186" s="15" t="n"/>
      <c r="J186" s="15" t="n"/>
      <c r="K186" s="15" t="n"/>
    </row>
    <row r="187">
      <c r="A187" s="15" t="n"/>
      <c r="B187" s="15" t="n"/>
      <c r="C187" s="15" t="n"/>
      <c r="D187" s="15" t="n"/>
      <c r="E187" s="15" t="n"/>
      <c r="F187" s="15" t="n"/>
      <c r="G187" s="15" t="n"/>
      <c r="H187" s="15" t="n"/>
      <c r="I187" s="15" t="n"/>
      <c r="J187" s="15" t="n"/>
      <c r="K187" s="15" t="n"/>
    </row>
    <row r="188">
      <c r="A188" s="15" t="n"/>
      <c r="B188" s="15" t="n"/>
      <c r="C188" s="15" t="n"/>
      <c r="D188" s="15" t="n"/>
      <c r="E188" s="15" t="n"/>
      <c r="F188" s="15" t="n"/>
      <c r="G188" s="15" t="n"/>
      <c r="H188" s="15" t="n"/>
      <c r="I188" s="15" t="n"/>
      <c r="J188" s="15" t="n"/>
      <c r="K188" s="15" t="n"/>
    </row>
    <row r="189">
      <c r="A189" s="15" t="n"/>
      <c r="B189" s="15" t="n"/>
      <c r="C189" s="15" t="n"/>
      <c r="D189" s="15" t="n"/>
      <c r="E189" s="15" t="n"/>
      <c r="F189" s="15" t="n"/>
      <c r="G189" s="15" t="n"/>
      <c r="H189" s="15" t="n"/>
      <c r="I189" s="15" t="n"/>
      <c r="J189" s="15" t="n"/>
      <c r="K189" s="15" t="n"/>
    </row>
    <row r="190">
      <c r="A190" s="15" t="n"/>
      <c r="B190" s="15" t="n"/>
      <c r="C190" s="15" t="n"/>
      <c r="D190" s="15" t="n"/>
      <c r="E190" s="15" t="n"/>
      <c r="F190" s="15" t="n"/>
      <c r="G190" s="15" t="n"/>
      <c r="H190" s="15" t="n"/>
      <c r="I190" s="15" t="n"/>
      <c r="J190" s="15" t="n"/>
      <c r="K190" s="15" t="n"/>
    </row>
    <row r="191">
      <c r="A191" s="15" t="n"/>
      <c r="B191" s="15" t="n"/>
      <c r="C191" s="15" t="n"/>
      <c r="D191" s="15" t="n"/>
      <c r="E191" s="15" t="n"/>
      <c r="F191" s="15" t="n"/>
      <c r="G191" s="15" t="n"/>
      <c r="H191" s="15" t="n"/>
      <c r="I191" s="15" t="n"/>
      <c r="J191" s="15" t="n"/>
      <c r="K191" s="15" t="n"/>
    </row>
    <row r="192">
      <c r="A192" s="15" t="n"/>
      <c r="B192" s="15" t="n"/>
      <c r="C192" s="15" t="n"/>
      <c r="D192" s="15" t="n"/>
      <c r="E192" s="15" t="n"/>
      <c r="F192" s="15" t="n"/>
      <c r="G192" s="15" t="n"/>
      <c r="H192" s="15" t="n"/>
      <c r="I192" s="15" t="n"/>
      <c r="J192" s="15" t="n"/>
      <c r="K192" s="15" t="n"/>
    </row>
    <row r="193">
      <c r="A193" s="15" t="n"/>
      <c r="B193" s="15" t="n"/>
      <c r="C193" s="15" t="n"/>
      <c r="D193" s="15" t="n"/>
      <c r="E193" s="15" t="n"/>
      <c r="F193" s="15" t="n"/>
      <c r="G193" s="15" t="n"/>
      <c r="H193" s="15" t="n"/>
      <c r="I193" s="15" t="n"/>
      <c r="J193" s="15" t="n"/>
      <c r="K193" s="15" t="n"/>
    </row>
    <row r="194">
      <c r="A194" s="15" t="n"/>
      <c r="B194" s="15" t="n"/>
      <c r="C194" s="15" t="n"/>
      <c r="D194" s="15" t="n"/>
      <c r="E194" s="15" t="n"/>
      <c r="F194" s="15" t="n"/>
      <c r="G194" s="15" t="n"/>
      <c r="H194" s="15" t="n"/>
      <c r="I194" s="15" t="n"/>
      <c r="J194" s="15" t="n"/>
      <c r="K194" s="15" t="n"/>
    </row>
    <row r="195">
      <c r="A195" s="15" t="n"/>
      <c r="B195" s="15" t="n"/>
      <c r="C195" s="15" t="n"/>
      <c r="D195" s="15" t="n"/>
      <c r="E195" s="15" t="n"/>
      <c r="F195" s="15" t="n"/>
      <c r="G195" s="15" t="n"/>
      <c r="H195" s="15" t="n"/>
      <c r="I195" s="15" t="n"/>
      <c r="J195" s="15" t="n"/>
      <c r="K195" s="15" t="n"/>
    </row>
    <row r="196">
      <c r="A196" s="15" t="n"/>
      <c r="B196" s="15" t="n"/>
      <c r="C196" s="15" t="n"/>
      <c r="D196" s="15" t="n"/>
      <c r="E196" s="15" t="n"/>
      <c r="F196" s="15" t="n"/>
      <c r="G196" s="15" t="n"/>
      <c r="H196" s="15" t="n"/>
      <c r="I196" s="15" t="n"/>
      <c r="J196" s="15" t="n"/>
      <c r="K196" s="15" t="n"/>
    </row>
    <row r="197">
      <c r="A197" s="15" t="n"/>
      <c r="B197" s="15" t="n"/>
      <c r="C197" s="15" t="n"/>
      <c r="D197" s="15" t="n"/>
      <c r="E197" s="15" t="n"/>
      <c r="F197" s="15" t="n"/>
      <c r="G197" s="15" t="n"/>
      <c r="H197" s="15" t="n"/>
      <c r="I197" s="15" t="n"/>
      <c r="J197" s="15" t="n"/>
      <c r="K197" s="15" t="n"/>
    </row>
    <row r="198">
      <c r="A198" s="15" t="n"/>
      <c r="B198" s="15" t="n"/>
      <c r="C198" s="15" t="n"/>
      <c r="D198" s="15" t="n"/>
      <c r="E198" s="15" t="n"/>
      <c r="F198" s="15" t="n"/>
      <c r="G198" s="15" t="n"/>
      <c r="H198" s="15" t="n"/>
      <c r="I198" s="15" t="n"/>
      <c r="J198" s="15" t="n"/>
      <c r="K198" s="15" t="n"/>
    </row>
    <row r="199">
      <c r="A199" s="15" t="n"/>
      <c r="B199" s="15" t="n"/>
      <c r="C199" s="15" t="n"/>
      <c r="D199" s="15" t="n"/>
      <c r="E199" s="15" t="n"/>
      <c r="F199" s="15" t="n"/>
      <c r="G199" s="15" t="n"/>
      <c r="H199" s="15" t="n"/>
      <c r="I199" s="15" t="n"/>
      <c r="J199" s="15" t="n"/>
      <c r="K199" s="15" t="n"/>
    </row>
    <row r="200">
      <c r="A200" s="15" t="n"/>
      <c r="B200" s="15" t="n"/>
      <c r="C200" s="15" t="n"/>
      <c r="D200" s="15" t="n"/>
      <c r="E200" s="15" t="n"/>
      <c r="F200" s="15" t="n"/>
      <c r="G200" s="15" t="n"/>
      <c r="H200" s="15" t="n"/>
      <c r="I200" s="15" t="n"/>
      <c r="J200" s="15" t="n"/>
      <c r="K200" s="15" t="n"/>
    </row>
    <row r="201">
      <c r="A201" s="15" t="n"/>
      <c r="B201" s="15" t="n"/>
      <c r="C201" s="15" t="n"/>
      <c r="D201" s="15" t="n"/>
      <c r="E201" s="15" t="n"/>
      <c r="F201" s="15" t="n"/>
      <c r="G201" s="15" t="n"/>
      <c r="H201" s="15" t="n"/>
      <c r="I201" s="15" t="n"/>
      <c r="J201" s="15" t="n"/>
      <c r="K201" s="15" t="n"/>
    </row>
    <row r="202">
      <c r="A202" s="15" t="n"/>
      <c r="B202" s="15" t="n"/>
      <c r="C202" s="15" t="n"/>
      <c r="D202" s="15" t="n"/>
      <c r="E202" s="15" t="n"/>
      <c r="F202" s="15" t="n"/>
      <c r="G202" s="15" t="n"/>
      <c r="H202" s="15" t="n"/>
      <c r="I202" s="15" t="n"/>
      <c r="J202" s="15" t="n"/>
      <c r="K202" s="15" t="n"/>
    </row>
    <row r="203">
      <c r="A203" s="15" t="n"/>
      <c r="B203" s="15" t="n"/>
      <c r="C203" s="15" t="n"/>
      <c r="D203" s="15" t="n"/>
      <c r="E203" s="15" t="n"/>
      <c r="F203" s="15" t="n"/>
      <c r="G203" s="15" t="n"/>
      <c r="H203" s="15" t="n"/>
      <c r="I203" s="15" t="n"/>
      <c r="J203" s="15" t="n"/>
      <c r="K203" s="15" t="n"/>
    </row>
    <row r="204">
      <c r="A204" s="15" t="n"/>
      <c r="B204" s="15" t="n"/>
      <c r="C204" s="15" t="n"/>
      <c r="D204" s="15" t="n"/>
      <c r="E204" s="15" t="n"/>
      <c r="F204" s="15" t="n"/>
      <c r="G204" s="15" t="n"/>
      <c r="H204" s="15" t="n"/>
      <c r="I204" s="15" t="n"/>
      <c r="J204" s="15" t="n"/>
      <c r="K204" s="15" t="n"/>
    </row>
    <row r="205">
      <c r="A205" s="15" t="n"/>
      <c r="B205" s="15" t="n"/>
      <c r="C205" s="15" t="n"/>
      <c r="D205" s="15" t="n"/>
      <c r="E205" s="15" t="n"/>
      <c r="F205" s="15" t="n"/>
      <c r="G205" s="15" t="n"/>
      <c r="H205" s="15" t="n"/>
      <c r="I205" s="15" t="n"/>
      <c r="J205" s="15" t="n"/>
      <c r="K205" s="15" t="n"/>
    </row>
    <row r="206">
      <c r="A206" s="15" t="n"/>
      <c r="B206" s="15" t="n"/>
      <c r="C206" s="15" t="n"/>
      <c r="D206" s="15" t="n"/>
      <c r="E206" s="15" t="n"/>
      <c r="F206" s="15" t="n"/>
      <c r="G206" s="15" t="n"/>
      <c r="H206" s="15" t="n"/>
      <c r="I206" s="15" t="n"/>
      <c r="J206" s="15" t="n"/>
      <c r="K206" s="15" t="n"/>
    </row>
    <row r="207">
      <c r="A207" s="15" t="n"/>
      <c r="B207" s="15" t="n"/>
      <c r="C207" s="15" t="n"/>
      <c r="D207" s="15" t="n"/>
      <c r="E207" s="15" t="n"/>
      <c r="F207" s="15" t="n"/>
      <c r="G207" s="15" t="n"/>
      <c r="H207" s="15" t="n"/>
      <c r="I207" s="15" t="n"/>
      <c r="J207" s="15" t="n"/>
      <c r="K207" s="15" t="n"/>
    </row>
    <row r="208">
      <c r="A208" s="15" t="n"/>
      <c r="B208" s="15" t="n"/>
      <c r="C208" s="15" t="n"/>
      <c r="D208" s="15" t="n"/>
      <c r="E208" s="15" t="n"/>
      <c r="F208" s="15" t="n"/>
      <c r="G208" s="15" t="n"/>
      <c r="H208" s="15" t="n"/>
      <c r="I208" s="15" t="n"/>
      <c r="J208" s="15" t="n"/>
      <c r="K208" s="15" t="n"/>
    </row>
    <row r="209">
      <c r="A209" s="15" t="n"/>
      <c r="B209" s="15" t="n"/>
      <c r="C209" s="15" t="n"/>
      <c r="D209" s="15" t="n"/>
      <c r="E209" s="15" t="n"/>
      <c r="F209" s="15" t="n"/>
      <c r="G209" s="15" t="n"/>
      <c r="H209" s="15" t="n"/>
      <c r="I209" s="15" t="n"/>
      <c r="J209" s="15" t="n"/>
      <c r="K209" s="15" t="n"/>
    </row>
    <row r="210">
      <c r="A210" s="15" t="n"/>
      <c r="B210" s="15" t="n"/>
      <c r="C210" s="15" t="n"/>
      <c r="D210" s="15" t="n"/>
      <c r="E210" s="15" t="n"/>
      <c r="F210" s="15" t="n"/>
      <c r="G210" s="15" t="n"/>
      <c r="H210" s="15" t="n"/>
      <c r="I210" s="15" t="n"/>
      <c r="J210" s="15" t="n"/>
      <c r="K210" s="15" t="n"/>
    </row>
    <row r="211">
      <c r="A211" s="15" t="n"/>
      <c r="B211" s="15" t="n"/>
      <c r="C211" s="15" t="n"/>
      <c r="D211" s="15" t="n"/>
      <c r="E211" s="15" t="n"/>
      <c r="F211" s="15" t="n"/>
      <c r="G211" s="15" t="n"/>
      <c r="H211" s="15" t="n"/>
      <c r="I211" s="15" t="n"/>
      <c r="J211" s="15" t="n"/>
      <c r="K211" s="15" t="n"/>
    </row>
    <row r="212">
      <c r="A212" s="15" t="n"/>
      <c r="B212" s="15" t="n"/>
      <c r="C212" s="15" t="n"/>
      <c r="D212" s="15" t="n"/>
      <c r="E212" s="15" t="n"/>
      <c r="F212" s="15" t="n"/>
      <c r="G212" s="15" t="n"/>
      <c r="H212" s="15" t="n"/>
      <c r="I212" s="15" t="n"/>
      <c r="J212" s="15" t="n"/>
      <c r="K212" s="15" t="n"/>
    </row>
    <row r="213">
      <c r="A213" s="15" t="n"/>
      <c r="B213" s="15" t="n"/>
      <c r="C213" s="15" t="n"/>
      <c r="D213" s="15" t="n"/>
      <c r="E213" s="15" t="n"/>
      <c r="F213" s="15" t="n"/>
      <c r="G213" s="15" t="n"/>
      <c r="H213" s="15" t="n"/>
      <c r="I213" s="15" t="n"/>
      <c r="J213" s="15" t="n"/>
      <c r="K213" s="15" t="n"/>
    </row>
    <row r="214">
      <c r="A214" s="15" t="n"/>
      <c r="B214" s="15" t="n"/>
      <c r="C214" s="15" t="n"/>
      <c r="D214" s="15" t="n"/>
      <c r="E214" s="15" t="n"/>
      <c r="F214" s="15" t="n"/>
      <c r="G214" s="15" t="n"/>
      <c r="H214" s="15" t="n"/>
      <c r="I214" s="15" t="n"/>
      <c r="J214" s="15" t="n"/>
      <c r="K214" s="15" t="n"/>
    </row>
    <row r="215">
      <c r="A215" s="15" t="n"/>
      <c r="B215" s="15" t="n"/>
      <c r="C215" s="15" t="n"/>
      <c r="D215" s="15" t="n"/>
      <c r="E215" s="15" t="n"/>
      <c r="F215" s="15" t="n"/>
      <c r="G215" s="15" t="n"/>
      <c r="H215" s="15" t="n"/>
      <c r="I215" s="15" t="n"/>
      <c r="J215" s="15" t="n"/>
      <c r="K215" s="15" t="n"/>
    </row>
    <row r="216">
      <c r="A216" s="15" t="n"/>
      <c r="B216" s="15" t="n"/>
      <c r="C216" s="15" t="n"/>
      <c r="D216" s="15" t="n"/>
      <c r="E216" s="15" t="n"/>
      <c r="F216" s="15" t="n"/>
      <c r="G216" s="15" t="n"/>
      <c r="H216" s="15" t="n"/>
      <c r="I216" s="15" t="n"/>
      <c r="J216" s="15" t="n"/>
      <c r="K216" s="15" t="n"/>
    </row>
    <row r="217">
      <c r="A217" s="15" t="n"/>
      <c r="B217" s="15" t="n"/>
      <c r="C217" s="15" t="n"/>
      <c r="D217" s="15" t="n"/>
      <c r="E217" s="15" t="n"/>
      <c r="F217" s="15" t="n"/>
      <c r="G217" s="15" t="n"/>
      <c r="H217" s="15" t="n"/>
      <c r="I217" s="15" t="n"/>
      <c r="J217" s="15" t="n"/>
      <c r="K217" s="15" t="n"/>
    </row>
    <row r="218">
      <c r="A218" s="15" t="n"/>
      <c r="B218" s="15" t="n"/>
      <c r="C218" s="15" t="n"/>
      <c r="D218" s="15" t="n"/>
      <c r="E218" s="15" t="n"/>
      <c r="F218" s="15" t="n"/>
      <c r="G218" s="15" t="n"/>
      <c r="H218" s="15" t="n"/>
      <c r="I218" s="15" t="n"/>
      <c r="J218" s="15" t="n"/>
      <c r="K218" s="15" t="n"/>
    </row>
    <row r="219">
      <c r="A219" s="15" t="n"/>
      <c r="B219" s="15" t="n"/>
      <c r="C219" s="15" t="n"/>
      <c r="D219" s="15" t="n"/>
      <c r="E219" s="15" t="n"/>
      <c r="F219" s="15" t="n"/>
      <c r="G219" s="15" t="n"/>
      <c r="H219" s="15" t="n"/>
      <c r="I219" s="15" t="n"/>
      <c r="J219" s="15" t="n"/>
      <c r="K219" s="15" t="n"/>
    </row>
    <row r="220">
      <c r="A220" s="15" t="n"/>
      <c r="B220" s="15" t="n"/>
      <c r="C220" s="15" t="n"/>
      <c r="D220" s="15" t="n"/>
      <c r="E220" s="15" t="n"/>
      <c r="F220" s="15" t="n"/>
      <c r="G220" s="15" t="n"/>
      <c r="H220" s="15" t="n"/>
      <c r="I220" s="15" t="n"/>
      <c r="J220" s="15" t="n"/>
      <c r="K220" s="15" t="n"/>
    </row>
    <row r="221">
      <c r="A221" s="15" t="n"/>
      <c r="B221" s="15" t="n"/>
      <c r="C221" s="15" t="n"/>
      <c r="D221" s="15" t="n"/>
      <c r="E221" s="15" t="n"/>
      <c r="F221" s="15" t="n"/>
      <c r="G221" s="15" t="n"/>
      <c r="H221" s="15" t="n"/>
      <c r="I221" s="15" t="n"/>
      <c r="J221" s="15" t="n"/>
      <c r="K221" s="15" t="n"/>
    </row>
    <row r="222">
      <c r="A222" s="15" t="n"/>
      <c r="B222" s="15" t="n"/>
      <c r="C222" s="15" t="n"/>
      <c r="D222" s="15" t="n"/>
      <c r="E222" s="15" t="n"/>
      <c r="F222" s="15" t="n"/>
      <c r="G222" s="15" t="n"/>
      <c r="H222" s="15" t="n"/>
      <c r="I222" s="15" t="n"/>
      <c r="J222" s="15" t="n"/>
      <c r="K222" s="15" t="n"/>
    </row>
    <row r="223">
      <c r="A223" s="15" t="n"/>
      <c r="B223" s="15" t="n"/>
      <c r="C223" s="15" t="n"/>
      <c r="D223" s="15" t="n"/>
      <c r="E223" s="15" t="n"/>
      <c r="F223" s="15" t="n"/>
      <c r="G223" s="15" t="n"/>
      <c r="H223" s="15" t="n"/>
      <c r="I223" s="15" t="n"/>
      <c r="J223" s="15" t="n"/>
      <c r="K223" s="15" t="n"/>
    </row>
    <row r="224">
      <c r="A224" s="15" t="n"/>
      <c r="B224" s="15" t="n"/>
      <c r="C224" s="15" t="n"/>
      <c r="D224" s="15" t="n"/>
      <c r="E224" s="15" t="n"/>
      <c r="F224" s="15" t="n"/>
      <c r="G224" s="15" t="n"/>
      <c r="H224" s="15" t="n"/>
      <c r="I224" s="15" t="n"/>
      <c r="J224" s="15" t="n"/>
      <c r="K224" s="15" t="n"/>
    </row>
    <row r="225">
      <c r="A225" s="15" t="n"/>
      <c r="B225" s="15" t="n"/>
      <c r="C225" s="15" t="n"/>
      <c r="D225" s="15" t="n"/>
      <c r="E225" s="15" t="n"/>
      <c r="F225" s="15" t="n"/>
      <c r="G225" s="15" t="n"/>
      <c r="H225" s="15" t="n"/>
      <c r="I225" s="15" t="n"/>
      <c r="J225" s="15" t="n"/>
      <c r="K225" s="15" t="n"/>
    </row>
    <row r="226">
      <c r="A226" s="15" t="n"/>
      <c r="B226" s="15" t="n"/>
      <c r="C226" s="15" t="n"/>
      <c r="D226" s="15" t="n"/>
      <c r="E226" s="15" t="n"/>
      <c r="F226" s="15" t="n"/>
      <c r="G226" s="15" t="n"/>
      <c r="H226" s="15" t="n"/>
      <c r="I226" s="15" t="n"/>
      <c r="J226" s="15" t="n"/>
      <c r="K226" s="15" t="n"/>
    </row>
    <row r="227">
      <c r="A227" s="15" t="n"/>
      <c r="B227" s="15" t="n"/>
      <c r="C227" s="15" t="n"/>
      <c r="D227" s="15" t="n"/>
      <c r="E227" s="15" t="n"/>
      <c r="F227" s="15" t="n"/>
      <c r="G227" s="15" t="n"/>
      <c r="H227" s="15" t="n"/>
      <c r="I227" s="15" t="n"/>
      <c r="J227" s="15" t="n"/>
      <c r="K227" s="15" t="n"/>
    </row>
    <row r="228">
      <c r="A228" s="15" t="n"/>
      <c r="B228" s="15" t="n"/>
      <c r="C228" s="15" t="n"/>
      <c r="D228" s="15" t="n"/>
      <c r="E228" s="15" t="n"/>
      <c r="F228" s="15" t="n"/>
      <c r="G228" s="15" t="n"/>
      <c r="H228" s="15" t="n"/>
      <c r="I228" s="15" t="n"/>
      <c r="J228" s="15" t="n"/>
      <c r="K228" s="15" t="n"/>
    </row>
    <row r="229">
      <c r="A229" s="15" t="n"/>
      <c r="B229" s="15" t="n"/>
      <c r="C229" s="15" t="n"/>
      <c r="D229" s="15" t="n"/>
      <c r="E229" s="15" t="n"/>
      <c r="F229" s="15" t="n"/>
      <c r="G229" s="15" t="n"/>
      <c r="H229" s="15" t="n"/>
      <c r="I229" s="15" t="n"/>
      <c r="J229" s="15" t="n"/>
      <c r="K229" s="15" t="n"/>
    </row>
    <row r="230">
      <c r="A230" s="15" t="n"/>
      <c r="B230" s="15" t="n"/>
      <c r="C230" s="15" t="n"/>
      <c r="D230" s="15" t="n"/>
      <c r="E230" s="15" t="n"/>
      <c r="F230" s="15" t="n"/>
      <c r="G230" s="15" t="n"/>
      <c r="H230" s="15" t="n"/>
      <c r="I230" s="15" t="n"/>
      <c r="J230" s="15" t="n"/>
      <c r="K230" s="15" t="n"/>
    </row>
    <row r="231">
      <c r="A231" s="15" t="n"/>
      <c r="B231" s="15" t="n"/>
      <c r="C231" s="15" t="n"/>
      <c r="D231" s="15" t="n"/>
      <c r="E231" s="15" t="n"/>
      <c r="F231" s="15" t="n"/>
      <c r="G231" s="15" t="n"/>
      <c r="H231" s="15" t="n"/>
      <c r="I231" s="15" t="n"/>
      <c r="J231" s="15" t="n"/>
      <c r="K231" s="15" t="n"/>
    </row>
    <row r="232">
      <c r="A232" s="15" t="n"/>
      <c r="B232" s="15" t="n"/>
      <c r="C232" s="15" t="n"/>
      <c r="D232" s="15" t="n"/>
      <c r="E232" s="15" t="n"/>
      <c r="F232" s="15" t="n"/>
      <c r="G232" s="15" t="n"/>
      <c r="H232" s="15" t="n"/>
      <c r="I232" s="15" t="n"/>
      <c r="J232" s="15" t="n"/>
      <c r="K232" s="15" t="n"/>
    </row>
    <row r="233">
      <c r="A233" s="15" t="n"/>
      <c r="B233" s="15" t="n"/>
      <c r="C233" s="15" t="n"/>
      <c r="D233" s="15" t="n"/>
      <c r="E233" s="15" t="n"/>
      <c r="F233" s="15" t="n"/>
      <c r="G233" s="15" t="n"/>
      <c r="H233" s="15" t="n"/>
      <c r="I233" s="15" t="n"/>
      <c r="J233" s="15" t="n"/>
      <c r="K233" s="15" t="n"/>
    </row>
    <row r="234">
      <c r="A234" s="15" t="n"/>
      <c r="B234" s="15" t="n"/>
      <c r="C234" s="15" t="n"/>
      <c r="D234" s="15" t="n"/>
      <c r="E234" s="15" t="n"/>
      <c r="F234" s="15" t="n"/>
      <c r="G234" s="15" t="n"/>
      <c r="H234" s="15" t="n"/>
      <c r="I234" s="15" t="n"/>
      <c r="J234" s="15" t="n"/>
      <c r="K234" s="15" t="n"/>
    </row>
    <row r="235">
      <c r="A235" s="15" t="n"/>
      <c r="B235" s="15" t="n"/>
      <c r="C235" s="15" t="n"/>
      <c r="D235" s="15" t="n"/>
      <c r="E235" s="15" t="n"/>
      <c r="F235" s="15" t="n"/>
      <c r="G235" s="15" t="n"/>
      <c r="H235" s="15" t="n"/>
      <c r="I235" s="15" t="n"/>
      <c r="J235" s="15" t="n"/>
      <c r="K235" s="15" t="n"/>
    </row>
    <row r="236">
      <c r="A236" s="15" t="n"/>
      <c r="B236" s="15" t="n"/>
      <c r="C236" s="15" t="n"/>
      <c r="D236" s="15" t="n"/>
      <c r="E236" s="15" t="n"/>
      <c r="F236" s="15" t="n"/>
      <c r="G236" s="15" t="n"/>
      <c r="H236" s="15" t="n"/>
      <c r="I236" s="15" t="n"/>
      <c r="J236" s="15" t="n"/>
      <c r="K236" s="15" t="n"/>
    </row>
    <row r="237">
      <c r="A237" s="15" t="n"/>
      <c r="B237" s="15" t="n"/>
      <c r="C237" s="15" t="n"/>
      <c r="D237" s="15" t="n"/>
      <c r="E237" s="15" t="n"/>
      <c r="F237" s="15" t="n"/>
      <c r="G237" s="15" t="n"/>
      <c r="H237" s="15" t="n"/>
      <c r="I237" s="15" t="n"/>
      <c r="J237" s="15" t="n"/>
      <c r="K237" s="15" t="n"/>
    </row>
    <row r="238">
      <c r="A238" s="15" t="n"/>
      <c r="B238" s="15" t="n"/>
      <c r="C238" s="15" t="n"/>
      <c r="D238" s="15" t="n"/>
      <c r="E238" s="15" t="n"/>
      <c r="F238" s="15" t="n"/>
      <c r="G238" s="15" t="n"/>
      <c r="H238" s="15" t="n"/>
      <c r="I238" s="15" t="n"/>
      <c r="J238" s="15" t="n"/>
      <c r="K238" s="15" t="n"/>
    </row>
    <row r="239">
      <c r="A239" s="15" t="n"/>
      <c r="B239" s="15" t="n"/>
      <c r="C239" s="15" t="n"/>
      <c r="D239" s="15" t="n"/>
      <c r="E239" s="15" t="n"/>
      <c r="F239" s="15" t="n"/>
      <c r="G239" s="15" t="n"/>
      <c r="H239" s="15" t="n"/>
      <c r="I239" s="15" t="n"/>
      <c r="J239" s="15" t="n"/>
      <c r="K239" s="15" t="n"/>
    </row>
    <row r="240">
      <c r="A240" s="15" t="n"/>
      <c r="B240" s="15" t="n"/>
      <c r="C240" s="15" t="n"/>
      <c r="D240" s="15" t="n"/>
      <c r="E240" s="15" t="n"/>
      <c r="F240" s="15" t="n"/>
      <c r="G240" s="15" t="n"/>
      <c r="H240" s="15" t="n"/>
      <c r="I240" s="15" t="n"/>
      <c r="J240" s="15" t="n"/>
      <c r="K240" s="15" t="n"/>
    </row>
    <row r="241">
      <c r="A241" s="15" t="n"/>
      <c r="B241" s="15" t="n"/>
      <c r="C241" s="15" t="n"/>
      <c r="D241" s="15" t="n"/>
      <c r="E241" s="15" t="n"/>
      <c r="F241" s="15" t="n"/>
      <c r="G241" s="15" t="n"/>
      <c r="H241" s="15" t="n"/>
      <c r="I241" s="15" t="n"/>
      <c r="J241" s="15" t="n"/>
      <c r="K241" s="15" t="n"/>
    </row>
    <row r="242">
      <c r="A242" s="15" t="n"/>
      <c r="B242" s="15" t="n"/>
      <c r="C242" s="15" t="n"/>
      <c r="D242" s="15" t="n"/>
      <c r="E242" s="15" t="n"/>
      <c r="F242" s="15" t="n"/>
      <c r="G242" s="15" t="n"/>
      <c r="H242" s="15" t="n"/>
      <c r="I242" s="15" t="n"/>
      <c r="J242" s="15" t="n"/>
      <c r="K242" s="15" t="n"/>
    </row>
    <row r="243">
      <c r="A243" s="15" t="n"/>
      <c r="B243" s="15" t="n"/>
      <c r="C243" s="15" t="n"/>
      <c r="D243" s="15" t="n"/>
      <c r="E243" s="15" t="n"/>
      <c r="F243" s="15" t="n"/>
      <c r="G243" s="15" t="n"/>
      <c r="H243" s="15" t="n"/>
      <c r="I243" s="15" t="n"/>
      <c r="J243" s="15" t="n"/>
      <c r="K243" s="15" t="n"/>
    </row>
    <row r="244">
      <c r="A244" s="15" t="n"/>
      <c r="B244" s="15" t="n"/>
      <c r="C244" s="15" t="n"/>
      <c r="D244" s="15" t="n"/>
      <c r="E244" s="15" t="n"/>
      <c r="F244" s="15" t="n"/>
      <c r="G244" s="15" t="n"/>
      <c r="H244" s="15" t="n"/>
      <c r="I244" s="15" t="n"/>
      <c r="J244" s="15" t="n"/>
      <c r="K244" s="15" t="n"/>
    </row>
    <row r="245">
      <c r="A245" s="15" t="n"/>
      <c r="B245" s="15" t="n"/>
      <c r="C245" s="15" t="n"/>
      <c r="D245" s="15" t="n"/>
      <c r="E245" s="15" t="n"/>
      <c r="F245" s="15" t="n"/>
      <c r="G245" s="15" t="n"/>
      <c r="H245" s="15" t="n"/>
      <c r="I245" s="15" t="n"/>
      <c r="J245" s="15" t="n"/>
      <c r="K245" s="15" t="n"/>
    </row>
    <row r="246">
      <c r="A246" s="15" t="n"/>
      <c r="B246" s="15" t="n"/>
      <c r="C246" s="15" t="n"/>
      <c r="D246" s="15" t="n"/>
      <c r="E246" s="15" t="n"/>
      <c r="F246" s="15" t="n"/>
      <c r="G246" s="15" t="n"/>
      <c r="H246" s="15" t="n"/>
      <c r="I246" s="15" t="n"/>
      <c r="J246" s="15" t="n"/>
      <c r="K246" s="15" t="n"/>
    </row>
    <row r="247">
      <c r="A247" s="15" t="n"/>
      <c r="B247" s="15" t="n"/>
      <c r="C247" s="15" t="n"/>
      <c r="D247" s="15" t="n"/>
      <c r="E247" s="15" t="n"/>
      <c r="F247" s="15" t="n"/>
      <c r="G247" s="15" t="n"/>
      <c r="H247" s="15" t="n"/>
      <c r="I247" s="15" t="n"/>
      <c r="J247" s="15" t="n"/>
      <c r="K247" s="15" t="n"/>
    </row>
    <row r="248">
      <c r="A248" s="15" t="n"/>
      <c r="B248" s="15" t="n"/>
      <c r="C248" s="15" t="n"/>
      <c r="D248" s="15" t="n"/>
      <c r="E248" s="15" t="n"/>
      <c r="F248" s="15" t="n"/>
      <c r="G248" s="15" t="n"/>
      <c r="H248" s="15" t="n"/>
      <c r="I248" s="15" t="n"/>
      <c r="J248" s="15" t="n"/>
      <c r="K248" s="15" t="n"/>
    </row>
    <row r="249">
      <c r="A249" s="15" t="n"/>
      <c r="B249" s="15" t="n"/>
      <c r="C249" s="15" t="n"/>
      <c r="D249" s="15" t="n"/>
      <c r="E249" s="15" t="n"/>
      <c r="F249" s="15" t="n"/>
      <c r="G249" s="15" t="n"/>
      <c r="H249" s="15" t="n"/>
      <c r="I249" s="15" t="n"/>
      <c r="J249" s="15" t="n"/>
      <c r="K249" s="15" t="n"/>
    </row>
    <row r="250">
      <c r="A250" s="15" t="n"/>
      <c r="B250" s="15" t="n"/>
      <c r="C250" s="15" t="n"/>
      <c r="D250" s="15" t="n"/>
      <c r="E250" s="15" t="n"/>
      <c r="F250" s="15" t="n"/>
      <c r="G250" s="15" t="n"/>
      <c r="H250" s="15" t="n"/>
      <c r="I250" s="15" t="n"/>
      <c r="J250" s="15" t="n"/>
      <c r="K250" s="15" t="n"/>
    </row>
    <row r="251">
      <c r="A251" s="15" t="n"/>
      <c r="B251" s="15" t="n"/>
      <c r="C251" s="15" t="n"/>
      <c r="D251" s="15" t="n"/>
      <c r="E251" s="15" t="n"/>
      <c r="F251" s="15" t="n"/>
      <c r="G251" s="15" t="n"/>
      <c r="H251" s="15" t="n"/>
      <c r="I251" s="15" t="n"/>
      <c r="J251" s="15" t="n"/>
      <c r="K251" s="15" t="n"/>
    </row>
    <row r="252">
      <c r="A252" s="15" t="n"/>
      <c r="B252" s="15" t="n"/>
      <c r="C252" s="15" t="n"/>
      <c r="D252" s="15" t="n"/>
      <c r="E252" s="15" t="n"/>
      <c r="F252" s="15" t="n"/>
      <c r="G252" s="15" t="n"/>
      <c r="H252" s="15" t="n"/>
      <c r="I252" s="15" t="n"/>
      <c r="J252" s="15" t="n"/>
      <c r="K252" s="15" t="n"/>
    </row>
    <row r="253">
      <c r="A253" s="15" t="n"/>
      <c r="B253" s="15" t="n"/>
      <c r="C253" s="15" t="n"/>
      <c r="D253" s="15" t="n"/>
      <c r="E253" s="15" t="n"/>
      <c r="F253" s="15" t="n"/>
      <c r="G253" s="15" t="n"/>
      <c r="H253" s="15" t="n"/>
      <c r="I253" s="15" t="n"/>
      <c r="J253" s="15" t="n"/>
      <c r="K253" s="15" t="n"/>
    </row>
    <row r="254">
      <c r="A254" s="15" t="n"/>
      <c r="B254" s="15" t="n"/>
      <c r="C254" s="15" t="n"/>
      <c r="D254" s="15" t="n"/>
      <c r="E254" s="15" t="n"/>
      <c r="F254" s="15" t="n"/>
      <c r="G254" s="15" t="n"/>
      <c r="H254" s="15" t="n"/>
      <c r="I254" s="15" t="n"/>
      <c r="J254" s="15" t="n"/>
      <c r="K254" s="15" t="n"/>
    </row>
    <row r="255">
      <c r="A255" s="15" t="n"/>
      <c r="B255" s="15" t="n"/>
      <c r="C255" s="15" t="n"/>
      <c r="D255" s="15" t="n"/>
      <c r="E255" s="15" t="n"/>
      <c r="F255" s="15" t="n"/>
      <c r="G255" s="15" t="n"/>
      <c r="H255" s="15" t="n"/>
      <c r="I255" s="15" t="n"/>
      <c r="J255" s="15" t="n"/>
      <c r="K255" s="15" t="n"/>
    </row>
    <row r="256">
      <c r="A256" s="15" t="n"/>
      <c r="B256" s="15" t="n"/>
      <c r="C256" s="15" t="n"/>
      <c r="D256" s="15" t="n"/>
      <c r="E256" s="15" t="n"/>
      <c r="F256" s="15" t="n"/>
      <c r="G256" s="15" t="n"/>
      <c r="H256" s="15" t="n"/>
      <c r="I256" s="15" t="n"/>
      <c r="J256" s="15" t="n"/>
      <c r="K256" s="15" t="n"/>
    </row>
    <row r="257">
      <c r="A257" s="15" t="n"/>
      <c r="B257" s="15" t="n"/>
      <c r="C257" s="15" t="n"/>
      <c r="D257" s="15" t="n"/>
      <c r="E257" s="15" t="n"/>
      <c r="F257" s="15" t="n"/>
      <c r="G257" s="15" t="n"/>
      <c r="H257" s="15" t="n"/>
      <c r="I257" s="15" t="n"/>
      <c r="J257" s="15" t="n"/>
      <c r="K257" s="15" t="n"/>
    </row>
    <row r="258">
      <c r="A258" s="15" t="n"/>
      <c r="B258" s="15" t="n"/>
      <c r="C258" s="15" t="n"/>
      <c r="D258" s="15" t="n"/>
      <c r="E258" s="15" t="n"/>
      <c r="F258" s="15" t="n"/>
      <c r="G258" s="15" t="n"/>
      <c r="H258" s="15" t="n"/>
      <c r="I258" s="15" t="n"/>
      <c r="J258" s="15" t="n"/>
      <c r="K258" s="15" t="n"/>
    </row>
    <row r="259">
      <c r="A259" s="15" t="n"/>
      <c r="B259" s="15" t="n"/>
      <c r="C259" s="15" t="n"/>
      <c r="D259" s="15" t="n"/>
      <c r="E259" s="15" t="n"/>
      <c r="F259" s="15" t="n"/>
      <c r="G259" s="15" t="n"/>
      <c r="H259" s="15" t="n"/>
      <c r="I259" s="15" t="n"/>
      <c r="J259" s="15" t="n"/>
      <c r="K259" s="15" t="n"/>
    </row>
    <row r="260">
      <c r="A260" s="15" t="n"/>
      <c r="B260" s="15" t="n"/>
      <c r="C260" s="15" t="n"/>
      <c r="D260" s="15" t="n"/>
      <c r="E260" s="15" t="n"/>
      <c r="F260" s="15" t="n"/>
      <c r="G260" s="15" t="n"/>
      <c r="H260" s="15" t="n"/>
      <c r="I260" s="15" t="n"/>
      <c r="J260" s="15" t="n"/>
      <c r="K260" s="15" t="n"/>
    </row>
    <row r="261">
      <c r="A261" s="15" t="n"/>
      <c r="B261" s="15" t="n"/>
      <c r="C261" s="15" t="n"/>
      <c r="D261" s="15" t="n"/>
      <c r="E261" s="15" t="n"/>
      <c r="F261" s="15" t="n"/>
      <c r="G261" s="15" t="n"/>
      <c r="H261" s="15" t="n"/>
      <c r="I261" s="15" t="n"/>
      <c r="J261" s="15" t="n"/>
      <c r="K261" s="15" t="n"/>
    </row>
    <row r="262">
      <c r="A262" s="15" t="n"/>
      <c r="B262" s="15" t="n"/>
      <c r="C262" s="15" t="n"/>
      <c r="D262" s="15" t="n"/>
      <c r="E262" s="15" t="n"/>
      <c r="F262" s="15" t="n"/>
      <c r="G262" s="15" t="n"/>
      <c r="H262" s="15" t="n"/>
      <c r="I262" s="15" t="n"/>
      <c r="J262" s="15" t="n"/>
      <c r="K262" s="15" t="n"/>
    </row>
    <row r="263">
      <c r="A263" s="15" t="n"/>
      <c r="B263" s="15" t="n"/>
      <c r="C263" s="15" t="n"/>
      <c r="D263" s="15" t="n"/>
      <c r="E263" s="15" t="n"/>
      <c r="F263" s="15" t="n"/>
      <c r="G263" s="15" t="n"/>
      <c r="H263" s="15" t="n"/>
      <c r="I263" s="15" t="n"/>
      <c r="J263" s="15" t="n"/>
      <c r="K263" s="15" t="n"/>
    </row>
    <row r="264">
      <c r="A264" s="15" t="n"/>
      <c r="B264" s="15" t="n"/>
      <c r="C264" s="15" t="n"/>
      <c r="D264" s="15" t="n"/>
      <c r="E264" s="15" t="n"/>
      <c r="F264" s="15" t="n"/>
      <c r="G264" s="15" t="n"/>
      <c r="H264" s="15" t="n"/>
      <c r="I264" s="15" t="n"/>
      <c r="J264" s="15" t="n"/>
      <c r="K264" s="15" t="n"/>
    </row>
    <row r="265">
      <c r="A265" s="15" t="n"/>
      <c r="B265" s="15" t="n"/>
      <c r="C265" s="15" t="n"/>
      <c r="D265" s="15" t="n"/>
      <c r="E265" s="15" t="n"/>
      <c r="F265" s="15" t="n"/>
      <c r="G265" s="15" t="n"/>
      <c r="H265" s="15" t="n"/>
      <c r="I265" s="15" t="n"/>
      <c r="J265" s="15" t="n"/>
      <c r="K265" s="15" t="n"/>
    </row>
    <row r="266">
      <c r="A266" s="15" t="n"/>
      <c r="B266" s="15" t="n"/>
      <c r="C266" s="15" t="n"/>
      <c r="D266" s="15" t="n"/>
      <c r="E266" s="15" t="n"/>
      <c r="F266" s="15" t="n"/>
      <c r="G266" s="15" t="n"/>
      <c r="H266" s="15" t="n"/>
      <c r="I266" s="15" t="n"/>
      <c r="J266" s="15" t="n"/>
      <c r="K266" s="15" t="n"/>
    </row>
    <row r="267">
      <c r="A267" s="15" t="n"/>
      <c r="B267" s="15" t="n"/>
      <c r="C267" s="15" t="n"/>
      <c r="D267" s="15" t="n"/>
      <c r="E267" s="15" t="n"/>
      <c r="F267" s="15" t="n"/>
      <c r="G267" s="15" t="n"/>
      <c r="H267" s="15" t="n"/>
      <c r="I267" s="15" t="n"/>
      <c r="J267" s="15" t="n"/>
      <c r="K267" s="15" t="n"/>
    </row>
    <row r="268">
      <c r="A268" s="15" t="n"/>
      <c r="B268" s="15" t="n"/>
      <c r="C268" s="15" t="n"/>
      <c r="D268" s="15" t="n"/>
      <c r="E268" s="15" t="n"/>
      <c r="F268" s="15" t="n"/>
      <c r="G268" s="15" t="n"/>
      <c r="H268" s="15" t="n"/>
      <c r="I268" s="15" t="n"/>
      <c r="J268" s="15" t="n"/>
      <c r="K268" s="15" t="n"/>
    </row>
    <row r="269">
      <c r="A269" s="15" t="n"/>
      <c r="B269" s="15" t="n"/>
      <c r="C269" s="15" t="n"/>
      <c r="D269" s="15" t="n"/>
      <c r="E269" s="15" t="n"/>
      <c r="F269" s="15" t="n"/>
      <c r="G269" s="15" t="n"/>
      <c r="H269" s="15" t="n"/>
      <c r="I269" s="15" t="n"/>
      <c r="J269" s="15" t="n"/>
      <c r="K269" s="15" t="n"/>
    </row>
    <row r="270">
      <c r="A270" s="15" t="n"/>
      <c r="B270" s="15" t="n"/>
      <c r="C270" s="15" t="n"/>
      <c r="D270" s="15" t="n"/>
      <c r="E270" s="15" t="n"/>
      <c r="F270" s="15" t="n"/>
      <c r="G270" s="15" t="n"/>
      <c r="H270" s="15" t="n"/>
      <c r="I270" s="15" t="n"/>
      <c r="J270" s="15" t="n"/>
      <c r="K270" s="15" t="n"/>
    </row>
    <row r="271">
      <c r="A271" s="15" t="n"/>
      <c r="B271" s="15" t="n"/>
      <c r="C271" s="15" t="n"/>
      <c r="D271" s="15" t="n"/>
      <c r="E271" s="15" t="n"/>
      <c r="F271" s="15" t="n"/>
      <c r="G271" s="15" t="n"/>
      <c r="H271" s="15" t="n"/>
      <c r="I271" s="15" t="n"/>
      <c r="J271" s="15" t="n"/>
      <c r="K271" s="15" t="n"/>
    </row>
    <row r="272">
      <c r="A272" s="15" t="n"/>
      <c r="B272" s="15" t="n"/>
      <c r="C272" s="15" t="n"/>
      <c r="D272" s="15" t="n"/>
      <c r="E272" s="15" t="n"/>
      <c r="F272" s="15" t="n"/>
      <c r="G272" s="15" t="n"/>
      <c r="H272" s="15" t="n"/>
      <c r="I272" s="15" t="n"/>
      <c r="J272" s="15" t="n"/>
      <c r="K272" s="15" t="n"/>
    </row>
    <row r="273">
      <c r="A273" s="15" t="n"/>
      <c r="B273" s="15" t="n"/>
      <c r="C273" s="15" t="n"/>
      <c r="D273" s="15" t="n"/>
      <c r="E273" s="15" t="n"/>
      <c r="F273" s="15" t="n"/>
      <c r="G273" s="15" t="n"/>
      <c r="H273" s="15" t="n"/>
      <c r="I273" s="15" t="n"/>
      <c r="J273" s="15" t="n"/>
      <c r="K273" s="15" t="n"/>
    </row>
    <row r="274">
      <c r="A274" s="15" t="n"/>
      <c r="B274" s="15" t="n"/>
      <c r="C274" s="15" t="n"/>
      <c r="D274" s="15" t="n"/>
      <c r="E274" s="15" t="n"/>
      <c r="F274" s="15" t="n"/>
      <c r="G274" s="15" t="n"/>
      <c r="H274" s="15" t="n"/>
      <c r="I274" s="15" t="n"/>
      <c r="J274" s="15" t="n"/>
      <c r="K274" s="15" t="n"/>
    </row>
    <row r="275">
      <c r="A275" s="15" t="n"/>
      <c r="B275" s="15" t="n"/>
      <c r="C275" s="15" t="n"/>
      <c r="D275" s="15" t="n"/>
      <c r="E275" s="15" t="n"/>
      <c r="F275" s="15" t="n"/>
      <c r="G275" s="15" t="n"/>
      <c r="H275" s="15" t="n"/>
      <c r="I275" s="15" t="n"/>
      <c r="J275" s="15" t="n"/>
      <c r="K275" s="15" t="n"/>
    </row>
    <row r="276">
      <c r="A276" s="15" t="n"/>
      <c r="B276" s="15" t="n"/>
      <c r="C276" s="15" t="n"/>
      <c r="D276" s="15" t="n"/>
      <c r="E276" s="15" t="n"/>
      <c r="F276" s="15" t="n"/>
      <c r="G276" s="15" t="n"/>
      <c r="H276" s="15" t="n"/>
      <c r="I276" s="15" t="n"/>
      <c r="J276" s="15" t="n"/>
      <c r="K276" s="15" t="n"/>
    </row>
    <row r="277">
      <c r="A277" s="15" t="n"/>
      <c r="B277" s="15" t="n"/>
      <c r="C277" s="15" t="n"/>
      <c r="D277" s="15" t="n"/>
      <c r="E277" s="15" t="n"/>
      <c r="F277" s="15" t="n"/>
      <c r="G277" s="15" t="n"/>
      <c r="H277" s="15" t="n"/>
      <c r="I277" s="15" t="n"/>
      <c r="J277" s="15" t="n"/>
      <c r="K277" s="15" t="n"/>
    </row>
    <row r="278">
      <c r="A278" s="15" t="n"/>
      <c r="B278" s="15" t="n"/>
      <c r="C278" s="15" t="n"/>
      <c r="D278" s="15" t="n"/>
      <c r="E278" s="15" t="n"/>
      <c r="F278" s="15" t="n"/>
      <c r="G278" s="15" t="n"/>
      <c r="H278" s="15" t="n"/>
      <c r="I278" s="15" t="n"/>
      <c r="J278" s="15" t="n"/>
      <c r="K278" s="15" t="n"/>
    </row>
    <row r="279">
      <c r="A279" s="15" t="n"/>
      <c r="B279" s="15" t="n"/>
      <c r="C279" s="15" t="n"/>
      <c r="D279" s="15" t="n"/>
      <c r="E279" s="15" t="n"/>
      <c r="F279" s="15" t="n"/>
      <c r="G279" s="15" t="n"/>
      <c r="H279" s="15" t="n"/>
      <c r="I279" s="15" t="n"/>
      <c r="J279" s="15" t="n"/>
      <c r="K279" s="15" t="n"/>
    </row>
    <row r="280">
      <c r="A280" s="15" t="n"/>
      <c r="B280" s="15" t="n"/>
      <c r="C280" s="15" t="n"/>
      <c r="D280" s="15" t="n"/>
      <c r="E280" s="15" t="n"/>
      <c r="F280" s="15" t="n"/>
      <c r="G280" s="15" t="n"/>
      <c r="H280" s="15" t="n"/>
      <c r="I280" s="15" t="n"/>
      <c r="J280" s="15" t="n"/>
      <c r="K280" s="15" t="n"/>
    </row>
    <row r="281">
      <c r="A281" s="15" t="n"/>
      <c r="B281" s="15" t="n"/>
      <c r="C281" s="15" t="n"/>
      <c r="D281" s="15" t="n"/>
      <c r="E281" s="15" t="n"/>
      <c r="F281" s="15" t="n"/>
      <c r="G281" s="15" t="n"/>
      <c r="H281" s="15" t="n"/>
      <c r="I281" s="15" t="n"/>
      <c r="J281" s="15" t="n"/>
      <c r="K281" s="15" t="n"/>
    </row>
    <row r="282">
      <c r="A282" s="15" t="n"/>
      <c r="B282" s="15" t="n"/>
      <c r="C282" s="15" t="n"/>
      <c r="D282" s="15" t="n"/>
      <c r="E282" s="15" t="n"/>
      <c r="F282" s="15" t="n"/>
      <c r="G282" s="15" t="n"/>
      <c r="H282" s="15" t="n"/>
      <c r="I282" s="15" t="n"/>
      <c r="J282" s="15" t="n"/>
      <c r="K282" s="15" t="n"/>
    </row>
    <row r="283">
      <c r="A283" s="15" t="n"/>
      <c r="B283" s="15" t="n"/>
      <c r="C283" s="15" t="n"/>
      <c r="D283" s="15" t="n"/>
      <c r="E283" s="15" t="n"/>
      <c r="F283" s="15" t="n"/>
      <c r="G283" s="15" t="n"/>
      <c r="H283" s="15" t="n"/>
      <c r="I283" s="15" t="n"/>
      <c r="J283" s="15" t="n"/>
      <c r="K283" s="15" t="n"/>
    </row>
    <row r="284">
      <c r="A284" s="15" t="n"/>
      <c r="B284" s="15" t="n"/>
      <c r="C284" s="15" t="n"/>
      <c r="D284" s="15" t="n"/>
      <c r="E284" s="15" t="n"/>
      <c r="F284" s="15" t="n"/>
      <c r="G284" s="15" t="n"/>
      <c r="H284" s="15" t="n"/>
      <c r="I284" s="15" t="n"/>
      <c r="J284" s="15" t="n"/>
      <c r="K284" s="15" t="n"/>
    </row>
    <row r="285">
      <c r="A285" s="15" t="n"/>
      <c r="B285" s="15" t="n"/>
      <c r="C285" s="15" t="n"/>
      <c r="D285" s="15" t="n"/>
      <c r="E285" s="15" t="n"/>
      <c r="F285" s="15" t="n"/>
      <c r="G285" s="15" t="n"/>
      <c r="H285" s="15" t="n"/>
      <c r="I285" s="15" t="n"/>
      <c r="J285" s="15" t="n"/>
      <c r="K285" s="15" t="n"/>
    </row>
    <row r="286">
      <c r="A286" s="15" t="n"/>
      <c r="B286" s="15" t="n"/>
      <c r="C286" s="15" t="n"/>
      <c r="D286" s="15" t="n"/>
      <c r="E286" s="15" t="n"/>
      <c r="F286" s="15" t="n"/>
      <c r="G286" s="15" t="n"/>
      <c r="H286" s="15" t="n"/>
      <c r="I286" s="15" t="n"/>
      <c r="J286" s="15" t="n"/>
      <c r="K286" s="15" t="n"/>
    </row>
    <row r="287">
      <c r="A287" s="15" t="n"/>
      <c r="B287" s="15" t="n"/>
      <c r="C287" s="15" t="n"/>
      <c r="D287" s="15" t="n"/>
      <c r="E287" s="15" t="n"/>
      <c r="F287" s="15" t="n"/>
      <c r="G287" s="15" t="n"/>
      <c r="H287" s="15" t="n"/>
      <c r="I287" s="15" t="n"/>
      <c r="J287" s="15" t="n"/>
      <c r="K287" s="15" t="n"/>
    </row>
    <row r="288">
      <c r="A288" s="15" t="n"/>
      <c r="B288" s="15" t="n"/>
      <c r="C288" s="15" t="n"/>
      <c r="D288" s="15" t="n"/>
      <c r="E288" s="15" t="n"/>
      <c r="F288" s="15" t="n"/>
      <c r="G288" s="15" t="n"/>
      <c r="H288" s="15" t="n"/>
      <c r="I288" s="15" t="n"/>
      <c r="J288" s="15" t="n"/>
      <c r="K288" s="15" t="n"/>
    </row>
    <row r="289">
      <c r="A289" s="15" t="n"/>
      <c r="B289" s="15" t="n"/>
      <c r="C289" s="15" t="n"/>
      <c r="D289" s="15" t="n"/>
      <c r="E289" s="15" t="n"/>
      <c r="F289" s="15" t="n"/>
      <c r="G289" s="15" t="n"/>
      <c r="H289" s="15" t="n"/>
      <c r="I289" s="15" t="n"/>
      <c r="J289" s="15" t="n"/>
      <c r="K289" s="15" t="n"/>
    </row>
    <row r="290">
      <c r="A290" s="15" t="n"/>
      <c r="B290" s="15" t="n"/>
      <c r="C290" s="15" t="n"/>
      <c r="D290" s="15" t="n"/>
      <c r="E290" s="15" t="n"/>
      <c r="F290" s="15" t="n"/>
      <c r="G290" s="15" t="n"/>
      <c r="H290" s="15" t="n"/>
      <c r="I290" s="15" t="n"/>
      <c r="J290" s="15" t="n"/>
      <c r="K290" s="15" t="n"/>
    </row>
    <row r="291">
      <c r="A291" s="15" t="n"/>
      <c r="B291" s="15" t="n"/>
      <c r="C291" s="15" t="n"/>
      <c r="D291" s="15" t="n"/>
      <c r="E291" s="15" t="n"/>
      <c r="F291" s="15" t="n"/>
      <c r="G291" s="15" t="n"/>
      <c r="H291" s="15" t="n"/>
      <c r="I291" s="15" t="n"/>
      <c r="J291" s="15" t="n"/>
      <c r="K291" s="15" t="n"/>
    </row>
    <row r="292">
      <c r="A292" s="15" t="n"/>
      <c r="B292" s="15" t="n"/>
      <c r="C292" s="15" t="n"/>
      <c r="D292" s="15" t="n"/>
      <c r="E292" s="15" t="n"/>
      <c r="F292" s="15" t="n"/>
      <c r="G292" s="15" t="n"/>
      <c r="H292" s="15" t="n"/>
      <c r="I292" s="15" t="n"/>
      <c r="J292" s="15" t="n"/>
      <c r="K292" s="15" t="n"/>
    </row>
    <row r="293">
      <c r="A293" s="15" t="n"/>
      <c r="B293" s="15" t="n"/>
      <c r="C293" s="15" t="n"/>
      <c r="D293" s="15" t="n"/>
      <c r="E293" s="15" t="n"/>
      <c r="F293" s="15" t="n"/>
      <c r="G293" s="15" t="n"/>
      <c r="H293" s="15" t="n"/>
      <c r="I293" s="15" t="n"/>
      <c r="J293" s="15" t="n"/>
      <c r="K293" s="15" t="n"/>
    </row>
    <row r="294">
      <c r="A294" s="15" t="n"/>
      <c r="B294" s="15" t="n"/>
      <c r="C294" s="15" t="n"/>
      <c r="D294" s="15" t="n"/>
      <c r="E294" s="15" t="n"/>
      <c r="F294" s="15" t="n"/>
      <c r="G294" s="15" t="n"/>
      <c r="H294" s="15" t="n"/>
      <c r="I294" s="15" t="n"/>
      <c r="J294" s="15" t="n"/>
      <c r="K294" s="15" t="n"/>
    </row>
    <row r="295">
      <c r="A295" s="15" t="n"/>
      <c r="B295" s="15" t="n"/>
      <c r="C295" s="15" t="n"/>
      <c r="D295" s="15" t="n"/>
      <c r="E295" s="15" t="n"/>
      <c r="F295" s="15" t="n"/>
      <c r="G295" s="15" t="n"/>
      <c r="H295" s="15" t="n"/>
      <c r="I295" s="15" t="n"/>
      <c r="J295" s="15" t="n"/>
      <c r="K295" s="15" t="n"/>
    </row>
    <row r="296">
      <c r="A296" s="15" t="n"/>
      <c r="B296" s="15" t="n"/>
      <c r="C296" s="15" t="n"/>
      <c r="D296" s="15" t="n"/>
      <c r="E296" s="15" t="n"/>
      <c r="F296" s="15" t="n"/>
      <c r="G296" s="15" t="n"/>
      <c r="H296" s="15" t="n"/>
      <c r="I296" s="15" t="n"/>
      <c r="J296" s="15" t="n"/>
      <c r="K296" s="15" t="n"/>
    </row>
    <row r="297">
      <c r="A297" s="15" t="n"/>
      <c r="B297" s="15" t="n"/>
      <c r="C297" s="15" t="n"/>
      <c r="D297" s="15" t="n"/>
      <c r="E297" s="15" t="n"/>
      <c r="F297" s="15" t="n"/>
      <c r="G297" s="15" t="n"/>
      <c r="H297" s="15" t="n"/>
      <c r="I297" s="15" t="n"/>
      <c r="J297" s="15" t="n"/>
      <c r="K297" s="15" t="n"/>
    </row>
    <row r="298">
      <c r="A298" s="15" t="n"/>
      <c r="B298" s="15" t="n"/>
      <c r="C298" s="15" t="n"/>
      <c r="D298" s="15" t="n"/>
      <c r="E298" s="15" t="n"/>
      <c r="F298" s="15" t="n"/>
      <c r="G298" s="15" t="n"/>
      <c r="H298" s="15" t="n"/>
      <c r="I298" s="15" t="n"/>
      <c r="J298" s="15" t="n"/>
      <c r="K298" s="15" t="n"/>
    </row>
    <row r="299">
      <c r="A299" s="15" t="n"/>
      <c r="B299" s="15" t="n"/>
      <c r="C299" s="15" t="n"/>
      <c r="D299" s="15" t="n"/>
      <c r="E299" s="15" t="n"/>
      <c r="F299" s="15" t="n"/>
      <c r="G299" s="15" t="n"/>
      <c r="H299" s="15" t="n"/>
      <c r="I299" s="15" t="n"/>
      <c r="J299" s="15" t="n"/>
      <c r="K299" s="15" t="n"/>
    </row>
    <row r="300">
      <c r="A300" s="15" t="n"/>
      <c r="B300" s="15" t="n"/>
      <c r="C300" s="15" t="n"/>
      <c r="D300" s="15" t="n"/>
      <c r="E300" s="15" t="n"/>
      <c r="F300" s="15" t="n"/>
      <c r="G300" s="15" t="n"/>
      <c r="H300" s="15" t="n"/>
      <c r="I300" s="15" t="n"/>
      <c r="J300" s="15" t="n"/>
      <c r="K300" s="15" t="n"/>
    </row>
    <row r="301">
      <c r="A301" s="15" t="n"/>
      <c r="B301" s="15" t="n"/>
      <c r="C301" s="15" t="n"/>
      <c r="D301" s="15" t="n"/>
      <c r="E301" s="15" t="n"/>
      <c r="F301" s="15" t="n"/>
      <c r="G301" s="15" t="n"/>
      <c r="H301" s="15" t="n"/>
      <c r="I301" s="15" t="n"/>
      <c r="J301" s="15" t="n"/>
      <c r="K301" s="15" t="n"/>
    </row>
    <row r="302">
      <c r="A302" s="15" t="n"/>
      <c r="B302" s="15" t="n"/>
      <c r="C302" s="15" t="n"/>
      <c r="D302" s="15" t="n"/>
      <c r="E302" s="15" t="n"/>
      <c r="F302" s="15" t="n"/>
      <c r="G302" s="15" t="n"/>
      <c r="H302" s="15" t="n"/>
      <c r="I302" s="15" t="n"/>
      <c r="J302" s="15" t="n"/>
      <c r="K302" s="15" t="n"/>
    </row>
    <row r="303">
      <c r="A303" s="15" t="n"/>
      <c r="B303" s="15" t="n"/>
      <c r="C303" s="15" t="n"/>
      <c r="D303" s="15" t="n"/>
      <c r="E303" s="15" t="n"/>
      <c r="F303" s="15" t="n"/>
      <c r="G303" s="15" t="n"/>
      <c r="H303" s="15" t="n"/>
      <c r="I303" s="15" t="n"/>
      <c r="J303" s="15" t="n"/>
      <c r="K303" s="15" t="n"/>
    </row>
    <row r="304">
      <c r="A304" s="15" t="n"/>
      <c r="B304" s="15" t="n"/>
      <c r="C304" s="15" t="n"/>
      <c r="D304" s="15" t="n"/>
      <c r="E304" s="15" t="n"/>
      <c r="F304" s="15" t="n"/>
      <c r="G304" s="15" t="n"/>
      <c r="H304" s="15" t="n"/>
      <c r="I304" s="15" t="n"/>
      <c r="J304" s="15" t="n"/>
      <c r="K304" s="15" t="n"/>
    </row>
    <row r="305">
      <c r="A305" s="15" t="n"/>
      <c r="B305" s="15" t="n"/>
      <c r="C305" s="15" t="n"/>
      <c r="D305" s="15" t="n"/>
      <c r="E305" s="15" t="n"/>
      <c r="F305" s="15" t="n"/>
      <c r="G305" s="15" t="n"/>
      <c r="H305" s="15" t="n"/>
      <c r="I305" s="15" t="n"/>
      <c r="J305" s="15" t="n"/>
      <c r="K305" s="15" t="n"/>
    </row>
    <row r="306">
      <c r="A306" s="15" t="n"/>
      <c r="B306" s="15" t="n"/>
      <c r="C306" s="15" t="n"/>
      <c r="D306" s="15" t="n"/>
      <c r="E306" s="15" t="n"/>
      <c r="F306" s="15" t="n"/>
      <c r="G306" s="15" t="n"/>
      <c r="H306" s="15" t="n"/>
      <c r="I306" s="15" t="n"/>
      <c r="J306" s="15" t="n"/>
      <c r="K306" s="15" t="n"/>
    </row>
    <row r="307">
      <c r="A307" s="15" t="n"/>
      <c r="B307" s="15" t="n"/>
      <c r="C307" s="15" t="n"/>
      <c r="D307" s="15" t="n"/>
      <c r="E307" s="15" t="n"/>
      <c r="F307" s="15" t="n"/>
      <c r="G307" s="15" t="n"/>
      <c r="H307" s="15" t="n"/>
      <c r="I307" s="15" t="n"/>
      <c r="J307" s="15" t="n"/>
      <c r="K307" s="15" t="n"/>
    </row>
    <row r="308">
      <c r="A308" s="15" t="n"/>
      <c r="B308" s="15" t="n"/>
      <c r="C308" s="15" t="n"/>
      <c r="D308" s="15" t="n"/>
      <c r="E308" s="15" t="n"/>
      <c r="F308" s="15" t="n"/>
      <c r="G308" s="15" t="n"/>
      <c r="H308" s="15" t="n"/>
      <c r="I308" s="15" t="n"/>
      <c r="J308" s="15" t="n"/>
      <c r="K308" s="15" t="n"/>
    </row>
    <row r="309">
      <c r="A309" s="15" t="n"/>
      <c r="B309" s="15" t="n"/>
      <c r="C309" s="15" t="n"/>
      <c r="D309" s="15" t="n"/>
      <c r="E309" s="15" t="n"/>
      <c r="F309" s="15" t="n"/>
      <c r="G309" s="15" t="n"/>
      <c r="H309" s="15" t="n"/>
      <c r="I309" s="15" t="n"/>
      <c r="J309" s="15" t="n"/>
      <c r="K309" s="15" t="n"/>
    </row>
    <row r="310">
      <c r="A310" s="15" t="n"/>
      <c r="B310" s="15" t="n"/>
      <c r="C310" s="15" t="n"/>
      <c r="D310" s="15" t="n"/>
      <c r="E310" s="15" t="n"/>
      <c r="F310" s="15" t="n"/>
      <c r="G310" s="15" t="n"/>
      <c r="H310" s="15" t="n"/>
      <c r="I310" s="15" t="n"/>
      <c r="J310" s="15" t="n"/>
      <c r="K310" s="15" t="n"/>
    </row>
    <row r="311">
      <c r="A311" s="15" t="n"/>
      <c r="B311" s="15" t="n"/>
      <c r="C311" s="15" t="n"/>
      <c r="D311" s="15" t="n"/>
      <c r="E311" s="15" t="n"/>
      <c r="F311" s="15" t="n"/>
      <c r="G311" s="15" t="n"/>
      <c r="H311" s="15" t="n"/>
      <c r="I311" s="15" t="n"/>
      <c r="J311" s="15" t="n"/>
      <c r="K311" s="15" t="n"/>
    </row>
    <row r="312">
      <c r="A312" s="15" t="n"/>
      <c r="B312" s="15" t="n"/>
      <c r="C312" s="15" t="n"/>
      <c r="D312" s="15" t="n"/>
      <c r="E312" s="15" t="n"/>
      <c r="F312" s="15" t="n"/>
      <c r="G312" s="15" t="n"/>
      <c r="H312" s="15" t="n"/>
      <c r="I312" s="15" t="n"/>
      <c r="J312" s="15" t="n"/>
      <c r="K312" s="15" t="n"/>
    </row>
    <row r="313">
      <c r="A313" s="15" t="n"/>
      <c r="B313" s="15" t="n"/>
      <c r="C313" s="15" t="n"/>
      <c r="D313" s="15" t="n"/>
      <c r="E313" s="15" t="n"/>
      <c r="F313" s="15" t="n"/>
      <c r="G313" s="15" t="n"/>
      <c r="H313" s="15" t="n"/>
      <c r="I313" s="15" t="n"/>
      <c r="J313" s="15" t="n"/>
      <c r="K313" s="15" t="n"/>
    </row>
    <row r="314">
      <c r="A314" s="15" t="n"/>
      <c r="B314" s="15" t="n"/>
      <c r="C314" s="15" t="n"/>
      <c r="D314" s="15" t="n"/>
      <c r="E314" s="15" t="n"/>
      <c r="F314" s="15" t="n"/>
      <c r="G314" s="15" t="n"/>
      <c r="H314" s="15" t="n"/>
      <c r="I314" s="15" t="n"/>
      <c r="J314" s="15" t="n"/>
      <c r="K314" s="15" t="n"/>
    </row>
    <row r="315">
      <c r="A315" s="15" t="n"/>
      <c r="B315" s="15" t="n"/>
      <c r="C315" s="15" t="n"/>
      <c r="D315" s="15" t="n"/>
      <c r="E315" s="15" t="n"/>
      <c r="F315" s="15" t="n"/>
      <c r="G315" s="15" t="n"/>
      <c r="H315" s="15" t="n"/>
      <c r="I315" s="15" t="n"/>
      <c r="J315" s="15" t="n"/>
      <c r="K315" s="15" t="n"/>
    </row>
    <row r="316">
      <c r="A316" s="15" t="n"/>
      <c r="B316" s="15" t="n"/>
      <c r="C316" s="15" t="n"/>
      <c r="D316" s="15" t="n"/>
      <c r="E316" s="15" t="n"/>
      <c r="F316" s="15" t="n"/>
      <c r="G316" s="15" t="n"/>
      <c r="H316" s="15" t="n"/>
      <c r="I316" s="15" t="n"/>
      <c r="J316" s="15" t="n"/>
      <c r="K316" s="15" t="n"/>
    </row>
    <row r="317">
      <c r="A317" s="15" t="n"/>
      <c r="B317" s="15" t="n"/>
      <c r="C317" s="15" t="n"/>
      <c r="D317" s="15" t="n"/>
      <c r="E317" s="15" t="n"/>
      <c r="F317" s="15" t="n"/>
      <c r="G317" s="15" t="n"/>
      <c r="H317" s="15" t="n"/>
      <c r="I317" s="15" t="n"/>
      <c r="J317" s="15" t="n"/>
      <c r="K317" s="15" t="n"/>
    </row>
    <row r="318">
      <c r="A318" s="15" t="n"/>
      <c r="B318" s="15" t="n"/>
      <c r="C318" s="15" t="n"/>
      <c r="D318" s="15" t="n"/>
      <c r="E318" s="15" t="n"/>
      <c r="F318" s="15" t="n"/>
      <c r="G318" s="15" t="n"/>
      <c r="H318" s="15" t="n"/>
      <c r="I318" s="15" t="n"/>
      <c r="J318" s="15" t="n"/>
      <c r="K318" s="15" t="n"/>
    </row>
    <row r="319">
      <c r="A319" s="15" t="n"/>
      <c r="B319" s="15" t="n"/>
      <c r="C319" s="15" t="n"/>
      <c r="D319" s="15" t="n"/>
      <c r="E319" s="15" t="n"/>
      <c r="F319" s="15" t="n"/>
      <c r="G319" s="15" t="n"/>
      <c r="H319" s="15" t="n"/>
      <c r="I319" s="15" t="n"/>
      <c r="J319" s="15" t="n"/>
      <c r="K319" s="15" t="n"/>
    </row>
    <row r="320">
      <c r="A320" s="15" t="n"/>
      <c r="B320" s="15" t="n"/>
      <c r="C320" s="15" t="n"/>
      <c r="D320" s="15" t="n"/>
      <c r="E320" s="15" t="n"/>
      <c r="F320" s="15" t="n"/>
      <c r="G320" s="15" t="n"/>
      <c r="H320" s="15" t="n"/>
      <c r="I320" s="15" t="n"/>
      <c r="J320" s="15" t="n"/>
      <c r="K320" s="15" t="n"/>
    </row>
    <row r="321">
      <c r="A321" s="15" t="n"/>
      <c r="B321" s="15" t="n"/>
      <c r="C321" s="15" t="n"/>
      <c r="D321" s="15" t="n"/>
      <c r="E321" s="15" t="n"/>
      <c r="F321" s="15" t="n"/>
      <c r="G321" s="15" t="n"/>
      <c r="H321" s="15" t="n"/>
      <c r="I321" s="15" t="n"/>
      <c r="J321" s="15" t="n"/>
      <c r="K321" s="15" t="n"/>
    </row>
    <row r="322">
      <c r="A322" s="15" t="n"/>
      <c r="B322" s="15" t="n"/>
      <c r="C322" s="15" t="n"/>
      <c r="D322" s="15" t="n"/>
      <c r="E322" s="15" t="n"/>
      <c r="F322" s="15" t="n"/>
      <c r="G322" s="15" t="n"/>
      <c r="H322" s="15" t="n"/>
      <c r="I322" s="15" t="n"/>
      <c r="J322" s="15" t="n"/>
      <c r="K322" s="15" t="n"/>
    </row>
    <row r="323">
      <c r="A323" s="15" t="n"/>
      <c r="B323" s="15" t="n"/>
      <c r="C323" s="15" t="n"/>
      <c r="D323" s="15" t="n"/>
      <c r="E323" s="15" t="n"/>
      <c r="F323" s="15" t="n"/>
      <c r="G323" s="15" t="n"/>
      <c r="H323" s="15" t="n"/>
      <c r="I323" s="15" t="n"/>
      <c r="J323" s="15" t="n"/>
      <c r="K323" s="15" t="n"/>
    </row>
    <row r="324">
      <c r="A324" s="15" t="n"/>
      <c r="B324" s="15" t="n"/>
      <c r="C324" s="15" t="n"/>
      <c r="D324" s="15" t="n"/>
      <c r="E324" s="15" t="n"/>
      <c r="F324" s="15" t="n"/>
      <c r="G324" s="15" t="n"/>
      <c r="H324" s="15" t="n"/>
      <c r="I324" s="15" t="n"/>
      <c r="J324" s="15" t="n"/>
      <c r="K324" s="15" t="n"/>
    </row>
    <row r="325">
      <c r="A325" s="15" t="n"/>
      <c r="B325" s="15" t="n"/>
      <c r="C325" s="15" t="n"/>
      <c r="D325" s="15" t="n"/>
      <c r="E325" s="15" t="n"/>
      <c r="F325" s="15" t="n"/>
      <c r="G325" s="15" t="n"/>
      <c r="H325" s="15" t="n"/>
      <c r="I325" s="15" t="n"/>
      <c r="J325" s="15" t="n"/>
      <c r="K325" s="15" t="n"/>
    </row>
    <row r="326">
      <c r="A326" s="15" t="n"/>
      <c r="B326" s="15" t="n"/>
      <c r="C326" s="15" t="n"/>
      <c r="D326" s="15" t="n"/>
      <c r="E326" s="15" t="n"/>
      <c r="F326" s="15" t="n"/>
      <c r="G326" s="15" t="n"/>
      <c r="H326" s="15" t="n"/>
      <c r="I326" s="15" t="n"/>
      <c r="J326" s="15" t="n"/>
      <c r="K326" s="15" t="n"/>
    </row>
    <row r="327">
      <c r="A327" s="15" t="n"/>
      <c r="B327" s="15" t="n"/>
      <c r="C327" s="15" t="n"/>
      <c r="D327" s="15" t="n"/>
      <c r="E327" s="15" t="n"/>
      <c r="F327" s="15" t="n"/>
      <c r="G327" s="15" t="n"/>
      <c r="H327" s="15" t="n"/>
      <c r="I327" s="15" t="n"/>
      <c r="J327" s="15" t="n"/>
      <c r="K327" s="15" t="n"/>
    </row>
    <row r="328">
      <c r="A328" s="15" t="n"/>
      <c r="B328" s="15" t="n"/>
      <c r="C328" s="15" t="n"/>
      <c r="D328" s="15" t="n"/>
      <c r="E328" s="15" t="n"/>
      <c r="F328" s="15" t="n"/>
      <c r="G328" s="15" t="n"/>
      <c r="H328" s="15" t="n"/>
      <c r="I328" s="15" t="n"/>
      <c r="J328" s="15" t="n"/>
      <c r="K328" s="15" t="n"/>
    </row>
    <row r="329">
      <c r="A329" s="15" t="n"/>
      <c r="B329" s="15" t="n"/>
      <c r="C329" s="15" t="n"/>
      <c r="D329" s="15" t="n"/>
      <c r="E329" s="15" t="n"/>
      <c r="F329" s="15" t="n"/>
      <c r="G329" s="15" t="n"/>
      <c r="H329" s="15" t="n"/>
      <c r="I329" s="15" t="n"/>
      <c r="J329" s="15" t="n"/>
      <c r="K329" s="15" t="n"/>
    </row>
    <row r="330">
      <c r="A330" s="15" t="n"/>
      <c r="B330" s="15" t="n"/>
      <c r="C330" s="15" t="n"/>
      <c r="D330" s="15" t="n"/>
      <c r="E330" s="15" t="n"/>
      <c r="F330" s="15" t="n"/>
      <c r="G330" s="15" t="n"/>
      <c r="H330" s="15" t="n"/>
      <c r="I330" s="15" t="n"/>
      <c r="J330" s="15" t="n"/>
      <c r="K330" s="15" t="n"/>
    </row>
    <row r="331">
      <c r="A331" s="15" t="n"/>
      <c r="B331" s="15" t="n"/>
      <c r="C331" s="15" t="n"/>
      <c r="D331" s="15" t="n"/>
      <c r="E331" s="15" t="n"/>
      <c r="F331" s="15" t="n"/>
      <c r="G331" s="15" t="n"/>
      <c r="H331" s="15" t="n"/>
      <c r="I331" s="15" t="n"/>
      <c r="J331" s="15" t="n"/>
      <c r="K331" s="15" t="n"/>
    </row>
    <row r="332">
      <c r="A332" s="15" t="n"/>
      <c r="B332" s="15" t="n"/>
      <c r="C332" s="15" t="n"/>
      <c r="D332" s="15" t="n"/>
      <c r="E332" s="15" t="n"/>
      <c r="F332" s="15" t="n"/>
      <c r="G332" s="15" t="n"/>
      <c r="H332" s="15" t="n"/>
      <c r="I332" s="15" t="n"/>
      <c r="J332" s="15" t="n"/>
      <c r="K332" s="15" t="n"/>
    </row>
    <row r="333">
      <c r="A333" s="15" t="n"/>
      <c r="B333" s="15" t="n"/>
      <c r="C333" s="15" t="n"/>
      <c r="D333" s="15" t="n"/>
      <c r="E333" s="15" t="n"/>
      <c r="F333" s="15" t="n"/>
      <c r="G333" s="15" t="n"/>
      <c r="H333" s="15" t="n"/>
      <c r="I333" s="15" t="n"/>
      <c r="J333" s="15" t="n"/>
      <c r="K333" s="15" t="n"/>
    </row>
    <row r="334">
      <c r="A334" s="15" t="n"/>
      <c r="B334" s="15" t="n"/>
      <c r="C334" s="15" t="n"/>
      <c r="D334" s="15" t="n"/>
      <c r="E334" s="15" t="n"/>
      <c r="F334" s="15" t="n"/>
      <c r="G334" s="15" t="n"/>
      <c r="H334" s="15" t="n"/>
      <c r="I334" s="15" t="n"/>
      <c r="J334" s="15" t="n"/>
      <c r="K334" s="15" t="n"/>
    </row>
    <row r="335">
      <c r="A335" s="15" t="n"/>
      <c r="B335" s="15" t="n"/>
      <c r="C335" s="15" t="n"/>
      <c r="D335" s="15" t="n"/>
      <c r="E335" s="15" t="n"/>
      <c r="F335" s="15" t="n"/>
      <c r="G335" s="15" t="n"/>
      <c r="H335" s="15" t="n"/>
      <c r="I335" s="15" t="n"/>
      <c r="J335" s="15" t="n"/>
      <c r="K335" s="15" t="n"/>
    </row>
    <row r="336">
      <c r="A336" s="15" t="n"/>
      <c r="B336" s="15" t="n"/>
      <c r="C336" s="15" t="n"/>
      <c r="D336" s="15" t="n"/>
      <c r="E336" s="15" t="n"/>
      <c r="F336" s="15" t="n"/>
      <c r="G336" s="15" t="n"/>
      <c r="H336" s="15" t="n"/>
      <c r="I336" s="15" t="n"/>
      <c r="J336" s="15" t="n"/>
      <c r="K336" s="15" t="n"/>
    </row>
    <row r="337">
      <c r="A337" s="15" t="n"/>
      <c r="B337" s="15" t="n"/>
      <c r="C337" s="15" t="n"/>
      <c r="D337" s="15" t="n"/>
      <c r="E337" s="15" t="n"/>
      <c r="F337" s="15" t="n"/>
      <c r="G337" s="15" t="n"/>
      <c r="H337" s="15" t="n"/>
      <c r="I337" s="15" t="n"/>
      <c r="J337" s="15" t="n"/>
      <c r="K337" s="15" t="n"/>
    </row>
    <row r="338">
      <c r="A338" s="15" t="n"/>
      <c r="B338" s="15" t="n"/>
      <c r="C338" s="15" t="n"/>
      <c r="D338" s="15" t="n"/>
      <c r="E338" s="15" t="n"/>
      <c r="F338" s="15" t="n"/>
      <c r="G338" s="15" t="n"/>
      <c r="H338" s="15" t="n"/>
      <c r="I338" s="15" t="n"/>
      <c r="J338" s="15" t="n"/>
      <c r="K338" s="15" t="n"/>
    </row>
    <row r="339">
      <c r="A339" s="15" t="n"/>
      <c r="B339" s="15" t="n"/>
      <c r="C339" s="15" t="n"/>
      <c r="D339" s="15" t="n"/>
      <c r="E339" s="15" t="n"/>
      <c r="F339" s="15" t="n"/>
      <c r="G339" s="15" t="n"/>
      <c r="H339" s="15" t="n"/>
      <c r="I339" s="15" t="n"/>
      <c r="J339" s="15" t="n"/>
      <c r="K339" s="15" t="n"/>
    </row>
    <row r="340">
      <c r="A340" s="15" t="n"/>
      <c r="B340" s="15" t="n"/>
      <c r="C340" s="15" t="n"/>
      <c r="D340" s="15" t="n"/>
      <c r="E340" s="15" t="n"/>
      <c r="F340" s="15" t="n"/>
      <c r="G340" s="15" t="n"/>
      <c r="H340" s="15" t="n"/>
      <c r="I340" s="15" t="n"/>
      <c r="J340" s="15" t="n"/>
      <c r="K340" s="15" t="n"/>
    </row>
    <row r="341">
      <c r="A341" s="15" t="n"/>
      <c r="B341" s="15" t="n"/>
      <c r="C341" s="15" t="n"/>
      <c r="D341" s="15" t="n"/>
      <c r="E341" s="15" t="n"/>
      <c r="F341" s="15" t="n"/>
      <c r="G341" s="15" t="n"/>
      <c r="H341" s="15" t="n"/>
      <c r="I341" s="15" t="n"/>
      <c r="J341" s="15" t="n"/>
      <c r="K341" s="15" t="n"/>
    </row>
    <row r="342">
      <c r="A342" s="15" t="n"/>
      <c r="B342" s="15" t="n"/>
      <c r="C342" s="15" t="n"/>
      <c r="D342" s="15" t="n"/>
      <c r="E342" s="15" t="n"/>
      <c r="F342" s="15" t="n"/>
      <c r="G342" s="15" t="n"/>
      <c r="H342" s="15" t="n"/>
      <c r="I342" s="15" t="n"/>
      <c r="J342" s="15" t="n"/>
      <c r="K342" s="15" t="n"/>
    </row>
    <row r="343">
      <c r="A343" s="15" t="n"/>
      <c r="B343" s="15" t="n"/>
      <c r="C343" s="15" t="n"/>
      <c r="D343" s="15" t="n"/>
      <c r="E343" s="15" t="n"/>
      <c r="F343" s="15" t="n"/>
      <c r="G343" s="15" t="n"/>
      <c r="H343" s="15" t="n"/>
      <c r="I343" s="15" t="n"/>
      <c r="J343" s="15" t="n"/>
      <c r="K343" s="15" t="n"/>
    </row>
    <row r="344">
      <c r="A344" s="15" t="n"/>
      <c r="B344" s="15" t="n"/>
      <c r="C344" s="15" t="n"/>
      <c r="D344" s="15" t="n"/>
      <c r="E344" s="15" t="n"/>
      <c r="F344" s="15" t="n"/>
      <c r="G344" s="15" t="n"/>
      <c r="H344" s="15" t="n"/>
      <c r="I344" s="15" t="n"/>
      <c r="J344" s="15" t="n"/>
      <c r="K344" s="15" t="n"/>
    </row>
    <row r="345">
      <c r="A345" s="15" t="n"/>
      <c r="B345" s="15" t="n"/>
      <c r="C345" s="15" t="n"/>
      <c r="D345" s="15" t="n"/>
      <c r="E345" s="15" t="n"/>
      <c r="F345" s="15" t="n"/>
      <c r="G345" s="15" t="n"/>
      <c r="H345" s="15" t="n"/>
      <c r="I345" s="15" t="n"/>
      <c r="J345" s="15" t="n"/>
      <c r="K345" s="15" t="n"/>
    </row>
    <row r="346">
      <c r="A346" s="15" t="n"/>
      <c r="B346" s="15" t="n"/>
      <c r="C346" s="15" t="n"/>
      <c r="D346" s="15" t="n"/>
      <c r="E346" s="15" t="n"/>
      <c r="F346" s="15" t="n"/>
      <c r="G346" s="15" t="n"/>
      <c r="H346" s="15" t="n"/>
      <c r="I346" s="15" t="n"/>
      <c r="J346" s="15" t="n"/>
      <c r="K346" s="15" t="n"/>
    </row>
    <row r="347">
      <c r="A347" s="15" t="n"/>
      <c r="B347" s="15" t="n"/>
      <c r="C347" s="15" t="n"/>
      <c r="D347" s="15" t="n"/>
      <c r="E347" s="15" t="n"/>
      <c r="F347" s="15" t="n"/>
      <c r="G347" s="15" t="n"/>
      <c r="H347" s="15" t="n"/>
      <c r="I347" s="15" t="n"/>
      <c r="J347" s="15" t="n"/>
      <c r="K347" s="15" t="n"/>
    </row>
    <row r="348">
      <c r="A348" s="15" t="n"/>
      <c r="B348" s="15" t="n"/>
      <c r="C348" s="15" t="n"/>
      <c r="D348" s="15" t="n"/>
      <c r="E348" s="15" t="n"/>
      <c r="F348" s="15" t="n"/>
      <c r="G348" s="15" t="n"/>
      <c r="H348" s="15" t="n"/>
      <c r="I348" s="15" t="n"/>
      <c r="J348" s="15" t="n"/>
      <c r="K348" s="15" t="n"/>
    </row>
    <row r="349">
      <c r="A349" s="15" t="n"/>
      <c r="B349" s="15" t="n"/>
      <c r="C349" s="15" t="n"/>
      <c r="D349" s="15" t="n"/>
      <c r="E349" s="15" t="n"/>
      <c r="F349" s="15" t="n"/>
      <c r="G349" s="15" t="n"/>
      <c r="H349" s="15" t="n"/>
      <c r="I349" s="15" t="n"/>
      <c r="J349" s="15" t="n"/>
      <c r="K349" s="15" t="n"/>
    </row>
    <row r="350">
      <c r="A350" s="15" t="n"/>
      <c r="B350" s="15" t="n"/>
      <c r="C350" s="15" t="n"/>
      <c r="D350" s="15" t="n"/>
      <c r="E350" s="15" t="n"/>
      <c r="F350" s="15" t="n"/>
      <c r="G350" s="15" t="n"/>
      <c r="H350" s="15" t="n"/>
      <c r="I350" s="15" t="n"/>
      <c r="J350" s="15" t="n"/>
      <c r="K350" s="15" t="n"/>
    </row>
    <row r="351">
      <c r="A351" s="15" t="n"/>
      <c r="B351" s="15" t="n"/>
      <c r="C351" s="15" t="n"/>
      <c r="D351" s="15" t="n"/>
      <c r="E351" s="15" t="n"/>
      <c r="F351" s="15" t="n"/>
      <c r="G351" s="15" t="n"/>
      <c r="H351" s="15" t="n"/>
      <c r="I351" s="15" t="n"/>
      <c r="J351" s="15" t="n"/>
      <c r="K351" s="15" t="n"/>
    </row>
    <row r="352">
      <c r="A352" s="15" t="n"/>
      <c r="B352" s="15" t="n"/>
      <c r="C352" s="15" t="n"/>
      <c r="D352" s="15" t="n"/>
      <c r="E352" s="15" t="n"/>
      <c r="F352" s="15" t="n"/>
      <c r="G352" s="15" t="n"/>
      <c r="H352" s="15" t="n"/>
      <c r="I352" s="15" t="n"/>
      <c r="J352" s="15" t="n"/>
      <c r="K352" s="15" t="n"/>
    </row>
    <row r="353">
      <c r="A353" s="15" t="n"/>
      <c r="B353" s="15" t="n"/>
      <c r="C353" s="15" t="n"/>
      <c r="D353" s="15" t="n"/>
      <c r="E353" s="15" t="n"/>
      <c r="F353" s="15" t="n"/>
      <c r="G353" s="15" t="n"/>
      <c r="H353" s="15" t="n"/>
      <c r="I353" s="15" t="n"/>
      <c r="J353" s="15" t="n"/>
      <c r="K353" s="15" t="n"/>
    </row>
    <row r="354">
      <c r="A354" s="15" t="n"/>
      <c r="B354" s="15" t="n"/>
      <c r="C354" s="15" t="n"/>
      <c r="D354" s="15" t="n"/>
      <c r="E354" s="15" t="n"/>
      <c r="F354" s="15" t="n"/>
      <c r="G354" s="15" t="n"/>
      <c r="H354" s="15" t="n"/>
      <c r="I354" s="15" t="n"/>
      <c r="J354" s="15" t="n"/>
      <c r="K354" s="15" t="n"/>
    </row>
    <row r="355">
      <c r="A355" s="15" t="n"/>
      <c r="B355" s="15" t="n"/>
      <c r="C355" s="15" t="n"/>
      <c r="D355" s="15" t="n"/>
      <c r="E355" s="15" t="n"/>
      <c r="F355" s="15" t="n"/>
      <c r="G355" s="15" t="n"/>
      <c r="H355" s="15" t="n"/>
      <c r="I355" s="15" t="n"/>
      <c r="J355" s="15" t="n"/>
      <c r="K355" s="15" t="n"/>
    </row>
    <row r="356">
      <c r="A356" s="15" t="n"/>
      <c r="B356" s="15" t="n"/>
      <c r="C356" s="15" t="n"/>
      <c r="D356" s="15" t="n"/>
      <c r="E356" s="15" t="n"/>
      <c r="F356" s="15" t="n"/>
      <c r="G356" s="15" t="n"/>
      <c r="H356" s="15" t="n"/>
      <c r="I356" s="15" t="n"/>
      <c r="J356" s="15" t="n"/>
      <c r="K356" s="15" t="n"/>
    </row>
    <row r="357">
      <c r="A357" s="15" t="n"/>
      <c r="B357" s="15" t="n"/>
      <c r="C357" s="15" t="n"/>
      <c r="D357" s="15" t="n"/>
      <c r="E357" s="15" t="n"/>
      <c r="F357" s="15" t="n"/>
      <c r="G357" s="15" t="n"/>
      <c r="H357" s="15" t="n"/>
      <c r="I357" s="15" t="n"/>
      <c r="J357" s="15" t="n"/>
      <c r="K357" s="15" t="n"/>
    </row>
    <row r="358">
      <c r="A358" s="15" t="n"/>
      <c r="B358" s="15" t="n"/>
      <c r="C358" s="15" t="n"/>
      <c r="D358" s="15" t="n"/>
      <c r="E358" s="15" t="n"/>
      <c r="F358" s="15" t="n"/>
      <c r="G358" s="15" t="n"/>
      <c r="H358" s="15" t="n"/>
      <c r="I358" s="15" t="n"/>
      <c r="J358" s="15" t="n"/>
      <c r="K358" s="15" t="n"/>
    </row>
    <row r="359">
      <c r="A359" s="15" t="n"/>
      <c r="B359" s="15" t="n"/>
      <c r="C359" s="15" t="n"/>
      <c r="D359" s="15" t="n"/>
      <c r="E359" s="15" t="n"/>
      <c r="F359" s="15" t="n"/>
      <c r="G359" s="15" t="n"/>
      <c r="H359" s="15" t="n"/>
      <c r="I359" s="15" t="n"/>
      <c r="J359" s="15" t="n"/>
      <c r="K359" s="15" t="n"/>
    </row>
    <row r="360">
      <c r="A360" s="15" t="n"/>
      <c r="B360" s="15" t="n"/>
      <c r="C360" s="15" t="n"/>
      <c r="D360" s="15" t="n"/>
      <c r="E360" s="15" t="n"/>
      <c r="F360" s="15" t="n"/>
      <c r="G360" s="15" t="n"/>
      <c r="H360" s="15" t="n"/>
      <c r="I360" s="15" t="n"/>
      <c r="J360" s="15" t="n"/>
      <c r="K360" s="15" t="n"/>
    </row>
    <row r="361">
      <c r="A361" s="15" t="n"/>
      <c r="B361" s="15" t="n"/>
      <c r="C361" s="15" t="n"/>
      <c r="D361" s="15" t="n"/>
      <c r="E361" s="15" t="n"/>
      <c r="F361" s="15" t="n"/>
      <c r="G361" s="15" t="n"/>
      <c r="H361" s="15" t="n"/>
      <c r="I361" s="15" t="n"/>
      <c r="J361" s="15" t="n"/>
      <c r="K361" s="15" t="n"/>
    </row>
    <row r="362">
      <c r="A362" s="15" t="n"/>
      <c r="B362" s="15" t="n"/>
      <c r="C362" s="15" t="n"/>
      <c r="D362" s="15" t="n"/>
      <c r="E362" s="15" t="n"/>
      <c r="F362" s="15" t="n"/>
      <c r="G362" s="15" t="n"/>
      <c r="H362" s="15" t="n"/>
      <c r="I362" s="15" t="n"/>
      <c r="J362" s="15" t="n"/>
      <c r="K362" s="15" t="n"/>
    </row>
    <row r="363">
      <c r="A363" s="15" t="n"/>
      <c r="B363" s="15" t="n"/>
      <c r="C363" s="15" t="n"/>
      <c r="D363" s="15" t="n"/>
      <c r="E363" s="15" t="n"/>
      <c r="F363" s="15" t="n"/>
      <c r="G363" s="15" t="n"/>
      <c r="H363" s="15" t="n"/>
      <c r="I363" s="15" t="n"/>
      <c r="J363" s="15" t="n"/>
      <c r="K363" s="15" t="n"/>
    </row>
    <row r="364">
      <c r="A364" s="15" t="n"/>
      <c r="B364" s="15" t="n"/>
      <c r="C364" s="15" t="n"/>
      <c r="D364" s="15" t="n"/>
      <c r="E364" s="15" t="n"/>
      <c r="F364" s="15" t="n"/>
      <c r="G364" s="15" t="n"/>
      <c r="H364" s="15" t="n"/>
      <c r="I364" s="15" t="n"/>
      <c r="J364" s="15" t="n"/>
      <c r="K364" s="15" t="n"/>
    </row>
    <row r="365">
      <c r="A365" s="15" t="n"/>
      <c r="B365" s="15" t="n"/>
      <c r="C365" s="15" t="n"/>
      <c r="D365" s="15" t="n"/>
      <c r="E365" s="15" t="n"/>
      <c r="F365" s="15" t="n"/>
      <c r="G365" s="15" t="n"/>
      <c r="H365" s="15" t="n"/>
      <c r="I365" s="15" t="n"/>
      <c r="J365" s="15" t="n"/>
      <c r="K365" s="15" t="n"/>
    </row>
    <row r="366">
      <c r="A366" s="15" t="n"/>
      <c r="B366" s="15" t="n"/>
      <c r="C366" s="15" t="n"/>
      <c r="D366" s="15" t="n"/>
      <c r="E366" s="15" t="n"/>
      <c r="F366" s="15" t="n"/>
      <c r="G366" s="15" t="n"/>
      <c r="H366" s="15" t="n"/>
      <c r="I366" s="15" t="n"/>
      <c r="J366" s="15" t="n"/>
      <c r="K366" s="15" t="n"/>
    </row>
    <row r="367">
      <c r="A367" s="15" t="n"/>
      <c r="B367" s="15" t="n"/>
      <c r="C367" s="15" t="n"/>
      <c r="D367" s="15" t="n"/>
      <c r="E367" s="15" t="n"/>
      <c r="F367" s="15" t="n"/>
      <c r="G367" s="15" t="n"/>
      <c r="H367" s="15" t="n"/>
      <c r="I367" s="15" t="n"/>
      <c r="J367" s="15" t="n"/>
      <c r="K367" s="15" t="n"/>
    </row>
    <row r="368">
      <c r="A368" s="15" t="n"/>
      <c r="B368" s="15" t="n"/>
      <c r="C368" s="15" t="n"/>
      <c r="D368" s="15" t="n"/>
      <c r="E368" s="15" t="n"/>
      <c r="F368" s="15" t="n"/>
      <c r="G368" s="15" t="n"/>
      <c r="H368" s="15" t="n"/>
      <c r="I368" s="15" t="n"/>
      <c r="J368" s="15" t="n"/>
      <c r="K368" s="15" t="n"/>
    </row>
    <row r="369">
      <c r="A369" s="15" t="n"/>
      <c r="B369" s="15" t="n"/>
      <c r="C369" s="15" t="n"/>
      <c r="D369" s="15" t="n"/>
      <c r="E369" s="15" t="n"/>
      <c r="F369" s="15" t="n"/>
      <c r="G369" s="15" t="n"/>
      <c r="H369" s="15" t="n"/>
      <c r="I369" s="15" t="n"/>
      <c r="J369" s="15" t="n"/>
      <c r="K369" s="15" t="n"/>
    </row>
    <row r="370">
      <c r="A370" s="15" t="n"/>
      <c r="B370" s="15" t="n"/>
      <c r="C370" s="15" t="n"/>
      <c r="D370" s="15" t="n"/>
      <c r="E370" s="15" t="n"/>
      <c r="F370" s="15" t="n"/>
      <c r="G370" s="15" t="n"/>
      <c r="H370" s="15" t="n"/>
      <c r="I370" s="15" t="n"/>
      <c r="J370" s="15" t="n"/>
      <c r="K370" s="15" t="n"/>
    </row>
    <row r="371">
      <c r="A371" s="15" t="n"/>
      <c r="B371" s="15" t="n"/>
      <c r="C371" s="15" t="n"/>
      <c r="D371" s="15" t="n"/>
      <c r="E371" s="15" t="n"/>
      <c r="F371" s="15" t="n"/>
      <c r="G371" s="15" t="n"/>
      <c r="H371" s="15" t="n"/>
      <c r="I371" s="15" t="n"/>
      <c r="J371" s="15" t="n"/>
      <c r="K371" s="15" t="n"/>
    </row>
    <row r="372">
      <c r="A372" s="15" t="n"/>
      <c r="B372" s="15" t="n"/>
      <c r="C372" s="15" t="n"/>
      <c r="D372" s="15" t="n"/>
      <c r="E372" s="15" t="n"/>
      <c r="F372" s="15" t="n"/>
      <c r="G372" s="15" t="n"/>
      <c r="H372" s="15" t="n"/>
      <c r="I372" s="15" t="n"/>
      <c r="J372" s="15" t="n"/>
      <c r="K372" s="15" t="n"/>
    </row>
    <row r="373">
      <c r="A373" s="15" t="n"/>
      <c r="B373" s="15" t="n"/>
      <c r="C373" s="15" t="n"/>
      <c r="D373" s="15" t="n"/>
      <c r="E373" s="15" t="n"/>
      <c r="F373" s="15" t="n"/>
      <c r="G373" s="15" t="n"/>
      <c r="H373" s="15" t="n"/>
      <c r="I373" s="15" t="n"/>
      <c r="J373" s="15" t="n"/>
      <c r="K373" s="15" t="n"/>
    </row>
    <row r="374">
      <c r="A374" s="15" t="n"/>
      <c r="B374" s="15" t="n"/>
      <c r="C374" s="15" t="n"/>
      <c r="D374" s="15" t="n"/>
      <c r="E374" s="15" t="n"/>
      <c r="F374" s="15" t="n"/>
      <c r="G374" s="15" t="n"/>
      <c r="H374" s="15" t="n"/>
      <c r="I374" s="15" t="n"/>
      <c r="J374" s="15" t="n"/>
      <c r="K374" s="15" t="n"/>
    </row>
    <row r="375">
      <c r="A375" s="15" t="n"/>
      <c r="B375" s="15" t="n"/>
      <c r="C375" s="15" t="n"/>
      <c r="D375" s="15" t="n"/>
      <c r="E375" s="15" t="n"/>
      <c r="F375" s="15" t="n"/>
      <c r="G375" s="15" t="n"/>
      <c r="H375" s="15" t="n"/>
      <c r="I375" s="15" t="n"/>
      <c r="J375" s="15" t="n"/>
      <c r="K375" s="15" t="n"/>
    </row>
    <row r="376">
      <c r="A376" s="15" t="n"/>
      <c r="B376" s="15" t="n"/>
      <c r="C376" s="15" t="n"/>
      <c r="D376" s="15" t="n"/>
      <c r="E376" s="15" t="n"/>
      <c r="F376" s="15" t="n"/>
      <c r="G376" s="15" t="n"/>
      <c r="H376" s="15" t="n"/>
      <c r="I376" s="15" t="n"/>
      <c r="J376" s="15" t="n"/>
      <c r="K376" s="15" t="n"/>
    </row>
    <row r="377">
      <c r="A377" s="15" t="n"/>
      <c r="B377" s="15" t="n"/>
      <c r="C377" s="15" t="n"/>
      <c r="D377" s="15" t="n"/>
      <c r="E377" s="15" t="n"/>
      <c r="F377" s="15" t="n"/>
      <c r="G377" s="15" t="n"/>
      <c r="H377" s="15" t="n"/>
      <c r="I377" s="15" t="n"/>
      <c r="J377" s="15" t="n"/>
      <c r="K377" s="15" t="n"/>
    </row>
    <row r="378">
      <c r="A378" s="15" t="n"/>
      <c r="B378" s="15" t="n"/>
      <c r="C378" s="15" t="n"/>
      <c r="D378" s="15" t="n"/>
      <c r="E378" s="15" t="n"/>
      <c r="F378" s="15" t="n"/>
      <c r="G378" s="15" t="n"/>
      <c r="H378" s="15" t="n"/>
      <c r="I378" s="15" t="n"/>
      <c r="J378" s="15" t="n"/>
      <c r="K378" s="15" t="n"/>
    </row>
    <row r="379">
      <c r="A379" s="15" t="n"/>
      <c r="B379" s="15" t="n"/>
      <c r="C379" s="15" t="n"/>
      <c r="D379" s="15" t="n"/>
      <c r="E379" s="15" t="n"/>
      <c r="F379" s="15" t="n"/>
      <c r="G379" s="15" t="n"/>
      <c r="H379" s="15" t="n"/>
      <c r="I379" s="15" t="n"/>
      <c r="J379" s="15" t="n"/>
      <c r="K379" s="15" t="n"/>
    </row>
    <row r="380">
      <c r="A380" s="15" t="n"/>
      <c r="B380" s="15" t="n"/>
      <c r="C380" s="15" t="n"/>
      <c r="D380" s="15" t="n"/>
      <c r="E380" s="15" t="n"/>
      <c r="F380" s="15" t="n"/>
      <c r="G380" s="15" t="n"/>
      <c r="H380" s="15" t="n"/>
      <c r="I380" s="15" t="n"/>
      <c r="J380" s="15" t="n"/>
      <c r="K380" s="15" t="n"/>
    </row>
    <row r="381">
      <c r="A381" s="15" t="n"/>
      <c r="B381" s="15" t="n"/>
      <c r="C381" s="15" t="n"/>
      <c r="D381" s="15" t="n"/>
      <c r="E381" s="15" t="n"/>
      <c r="F381" s="15" t="n"/>
      <c r="G381" s="15" t="n"/>
      <c r="H381" s="15" t="n"/>
      <c r="I381" s="15" t="n"/>
      <c r="J381" s="15" t="n"/>
      <c r="K381" s="15" t="n"/>
    </row>
    <row r="382">
      <c r="A382" s="15" t="n"/>
      <c r="B382" s="15" t="n"/>
      <c r="C382" s="15" t="n"/>
      <c r="D382" s="15" t="n"/>
      <c r="E382" s="15" t="n"/>
      <c r="F382" s="15" t="n"/>
      <c r="G382" s="15" t="n"/>
      <c r="H382" s="15" t="n"/>
      <c r="I382" s="15" t="n"/>
      <c r="J382" s="15" t="n"/>
      <c r="K382" s="15" t="n"/>
    </row>
    <row r="383">
      <c r="A383" s="15" t="n"/>
      <c r="B383" s="15" t="n"/>
      <c r="C383" s="15" t="n"/>
      <c r="D383" s="15" t="n"/>
      <c r="E383" s="15" t="n"/>
      <c r="F383" s="15" t="n"/>
      <c r="G383" s="15" t="n"/>
      <c r="H383" s="15" t="n"/>
      <c r="I383" s="15" t="n"/>
      <c r="J383" s="15" t="n"/>
      <c r="K383" s="15" t="n"/>
    </row>
    <row r="384">
      <c r="A384" s="15" t="n"/>
      <c r="B384" s="15" t="n"/>
      <c r="C384" s="15" t="n"/>
      <c r="D384" s="15" t="n"/>
      <c r="E384" s="15" t="n"/>
      <c r="F384" s="15" t="n"/>
      <c r="G384" s="15" t="n"/>
      <c r="H384" s="15" t="n"/>
      <c r="I384" s="15" t="n"/>
      <c r="J384" s="15" t="n"/>
      <c r="K384" s="15" t="n"/>
    </row>
    <row r="385">
      <c r="A385" s="15" t="n"/>
      <c r="B385" s="15" t="n"/>
      <c r="C385" s="15" t="n"/>
      <c r="D385" s="15" t="n"/>
      <c r="E385" s="15" t="n"/>
      <c r="F385" s="15" t="n"/>
      <c r="G385" s="15" t="n"/>
      <c r="H385" s="15" t="n"/>
      <c r="I385" s="15" t="n"/>
      <c r="J385" s="15" t="n"/>
      <c r="K385" s="15" t="n"/>
    </row>
    <row r="386">
      <c r="A386" s="15" t="n"/>
      <c r="B386" s="15" t="n"/>
      <c r="C386" s="15" t="n"/>
      <c r="D386" s="15" t="n"/>
      <c r="E386" s="15" t="n"/>
      <c r="F386" s="15" t="n"/>
      <c r="G386" s="15" t="n"/>
      <c r="H386" s="15" t="n"/>
      <c r="I386" s="15" t="n"/>
      <c r="J386" s="15" t="n"/>
      <c r="K386" s="15" t="n"/>
    </row>
    <row r="387">
      <c r="A387" s="15" t="n"/>
      <c r="B387" s="15" t="n"/>
      <c r="C387" s="15" t="n"/>
      <c r="D387" s="15" t="n"/>
      <c r="E387" s="15" t="n"/>
      <c r="F387" s="15" t="n"/>
      <c r="G387" s="15" t="n"/>
      <c r="H387" s="15" t="n"/>
      <c r="I387" s="15" t="n"/>
      <c r="J387" s="15" t="n"/>
      <c r="K387" s="15" t="n"/>
    </row>
    <row r="388">
      <c r="A388" s="15" t="n"/>
      <c r="B388" s="15" t="n"/>
      <c r="C388" s="15" t="n"/>
      <c r="D388" s="15" t="n"/>
      <c r="E388" s="15" t="n"/>
      <c r="F388" s="15" t="n"/>
      <c r="G388" s="15" t="n"/>
      <c r="H388" s="15" t="n"/>
      <c r="I388" s="15" t="n"/>
      <c r="J388" s="15" t="n"/>
      <c r="K388" s="15" t="n"/>
    </row>
    <row r="389">
      <c r="A389" s="15" t="n"/>
      <c r="B389" s="15" t="n"/>
      <c r="C389" s="15" t="n"/>
      <c r="D389" s="15" t="n"/>
      <c r="E389" s="15" t="n"/>
      <c r="F389" s="15" t="n"/>
      <c r="G389" s="15" t="n"/>
      <c r="H389" s="15" t="n"/>
      <c r="I389" s="15" t="n"/>
      <c r="J389" s="15" t="n"/>
      <c r="K389" s="15" t="n"/>
    </row>
    <row r="390">
      <c r="A390" s="15" t="n"/>
      <c r="B390" s="15" t="n"/>
      <c r="C390" s="15" t="n"/>
      <c r="D390" s="15" t="n"/>
      <c r="E390" s="15" t="n"/>
      <c r="F390" s="15" t="n"/>
      <c r="G390" s="15" t="n"/>
      <c r="H390" s="15" t="n"/>
      <c r="I390" s="15" t="n"/>
      <c r="J390" s="15" t="n"/>
      <c r="K390" s="15" t="n"/>
    </row>
    <row r="391">
      <c r="A391" s="15" t="n"/>
      <c r="B391" s="15" t="n"/>
      <c r="C391" s="15" t="n"/>
      <c r="D391" s="15" t="n"/>
      <c r="E391" s="15" t="n"/>
      <c r="F391" s="15" t="n"/>
      <c r="G391" s="15" t="n"/>
      <c r="H391" s="15" t="n"/>
      <c r="I391" s="15" t="n"/>
      <c r="J391" s="15" t="n"/>
      <c r="K391" s="15" t="n"/>
    </row>
    <row r="392">
      <c r="A392" s="15" t="n"/>
      <c r="B392" s="15" t="n"/>
      <c r="C392" s="15" t="n"/>
      <c r="D392" s="15" t="n"/>
      <c r="E392" s="15" t="n"/>
      <c r="F392" s="15" t="n"/>
      <c r="G392" s="15" t="n"/>
      <c r="H392" s="15" t="n"/>
      <c r="I392" s="15" t="n"/>
      <c r="J392" s="15" t="n"/>
      <c r="K392" s="15" t="n"/>
    </row>
    <row r="393">
      <c r="A393" s="15" t="n"/>
      <c r="B393" s="15" t="n"/>
      <c r="C393" s="15" t="n"/>
      <c r="D393" s="15" t="n"/>
      <c r="E393" s="15" t="n"/>
      <c r="F393" s="15" t="n"/>
      <c r="G393" s="15" t="n"/>
      <c r="H393" s="15" t="n"/>
      <c r="I393" s="15" t="n"/>
      <c r="J393" s="15" t="n"/>
      <c r="K393" s="15" t="n"/>
    </row>
    <row r="394">
      <c r="A394" s="15" t="n"/>
      <c r="B394" s="15" t="n"/>
      <c r="C394" s="15" t="n"/>
      <c r="D394" s="15" t="n"/>
      <c r="E394" s="15" t="n"/>
      <c r="F394" s="15" t="n"/>
      <c r="G394" s="15" t="n"/>
      <c r="H394" s="15" t="n"/>
      <c r="I394" s="15" t="n"/>
      <c r="J394" s="15" t="n"/>
      <c r="K394" s="15" t="n"/>
    </row>
    <row r="395">
      <c r="A395" s="15" t="n"/>
      <c r="B395" s="15" t="n"/>
      <c r="C395" s="15" t="n"/>
      <c r="D395" s="15" t="n"/>
      <c r="E395" s="15" t="n"/>
      <c r="F395" s="15" t="n"/>
      <c r="G395" s="15" t="n"/>
      <c r="H395" s="15" t="n"/>
      <c r="I395" s="15" t="n"/>
      <c r="J395" s="15" t="n"/>
      <c r="K395" s="15" t="n"/>
    </row>
    <row r="396">
      <c r="A396" s="15" t="n"/>
      <c r="B396" s="15" t="n"/>
      <c r="C396" s="15" t="n"/>
      <c r="D396" s="15" t="n"/>
      <c r="E396" s="15" t="n"/>
      <c r="F396" s="15" t="n"/>
      <c r="G396" s="15" t="n"/>
      <c r="H396" s="15" t="n"/>
      <c r="I396" s="15" t="n"/>
      <c r="J396" s="15" t="n"/>
      <c r="K396" s="15" t="n"/>
    </row>
    <row r="397">
      <c r="A397" s="15" t="n"/>
      <c r="B397" s="15" t="n"/>
      <c r="C397" s="15" t="n"/>
      <c r="D397" s="15" t="n"/>
      <c r="E397" s="15" t="n"/>
      <c r="F397" s="15" t="n"/>
      <c r="G397" s="15" t="n"/>
      <c r="H397" s="15" t="n"/>
      <c r="I397" s="15" t="n"/>
      <c r="J397" s="15" t="n"/>
      <c r="K397" s="15" t="n"/>
    </row>
    <row r="398">
      <c r="A398" s="15" t="n"/>
      <c r="B398" s="15" t="n"/>
      <c r="C398" s="15" t="n"/>
      <c r="D398" s="15" t="n"/>
      <c r="E398" s="15" t="n"/>
      <c r="F398" s="15" t="n"/>
      <c r="G398" s="15" t="n"/>
      <c r="H398" s="15" t="n"/>
      <c r="I398" s="15" t="n"/>
      <c r="J398" s="15" t="n"/>
      <c r="K398" s="15" t="n"/>
    </row>
    <row r="399">
      <c r="A399" s="15" t="n"/>
      <c r="B399" s="15" t="n"/>
      <c r="C399" s="15" t="n"/>
      <c r="D399" s="15" t="n"/>
      <c r="E399" s="15" t="n"/>
      <c r="F399" s="15" t="n"/>
      <c r="G399" s="15" t="n"/>
      <c r="H399" s="15" t="n"/>
      <c r="I399" s="15" t="n"/>
      <c r="J399" s="15" t="n"/>
      <c r="K399" s="15" t="n"/>
    </row>
    <row r="400">
      <c r="A400" s="15" t="n"/>
      <c r="B400" s="15" t="n"/>
      <c r="C400" s="15" t="n"/>
      <c r="D400" s="15" t="n"/>
      <c r="E400" s="15" t="n"/>
      <c r="F400" s="15" t="n"/>
      <c r="G400" s="15" t="n"/>
      <c r="H400" s="15" t="n"/>
      <c r="I400" s="15" t="n"/>
      <c r="J400" s="15" t="n"/>
      <c r="K400" s="15" t="n"/>
    </row>
    <row r="401">
      <c r="A401" s="15" t="n"/>
      <c r="B401" s="15" t="n"/>
      <c r="C401" s="15" t="n"/>
      <c r="D401" s="15" t="n"/>
      <c r="E401" s="15" t="n"/>
      <c r="F401" s="15" t="n"/>
      <c r="G401" s="15" t="n"/>
      <c r="H401" s="15" t="n"/>
      <c r="I401" s="15" t="n"/>
      <c r="J401" s="15" t="n"/>
      <c r="K401" s="15" t="n"/>
    </row>
    <row r="402">
      <c r="A402" s="15" t="n"/>
      <c r="B402" s="15" t="n"/>
      <c r="C402" s="15" t="n"/>
      <c r="D402" s="15" t="n"/>
      <c r="E402" s="15" t="n"/>
      <c r="F402" s="15" t="n"/>
      <c r="G402" s="15" t="n"/>
      <c r="H402" s="15" t="n"/>
      <c r="I402" s="15" t="n"/>
      <c r="J402" s="15" t="n"/>
      <c r="K402" s="15" t="n"/>
    </row>
    <row r="403">
      <c r="A403" s="15" t="n"/>
      <c r="B403" s="15" t="n"/>
      <c r="C403" s="15" t="n"/>
      <c r="D403" s="15" t="n"/>
      <c r="E403" s="15" t="n"/>
      <c r="F403" s="15" t="n"/>
      <c r="G403" s="15" t="n"/>
      <c r="H403" s="15" t="n"/>
      <c r="I403" s="15" t="n"/>
      <c r="J403" s="15" t="n"/>
      <c r="K403" s="15" t="n"/>
    </row>
    <row r="404">
      <c r="A404" s="15" t="n"/>
      <c r="B404" s="15" t="n"/>
      <c r="C404" s="15" t="n"/>
      <c r="D404" s="15" t="n"/>
      <c r="E404" s="15" t="n"/>
      <c r="F404" s="15" t="n"/>
      <c r="G404" s="15" t="n"/>
      <c r="H404" s="15" t="n"/>
      <c r="I404" s="15" t="n"/>
      <c r="J404" s="15" t="n"/>
      <c r="K404" s="15" t="n"/>
    </row>
    <row r="405">
      <c r="A405" s="15" t="n"/>
      <c r="B405" s="15" t="n"/>
      <c r="C405" s="15" t="n"/>
      <c r="D405" s="15" t="n"/>
      <c r="E405" s="15" t="n"/>
      <c r="F405" s="15" t="n"/>
      <c r="G405" s="15" t="n"/>
      <c r="H405" s="15" t="n"/>
      <c r="I405" s="15" t="n"/>
      <c r="J405" s="15" t="n"/>
      <c r="K405" s="15" t="n"/>
    </row>
    <row r="406">
      <c r="A406" s="15" t="n"/>
      <c r="B406" s="15" t="n"/>
      <c r="C406" s="15" t="n"/>
      <c r="D406" s="15" t="n"/>
      <c r="E406" s="15" t="n"/>
      <c r="F406" s="15" t="n"/>
      <c r="G406" s="15" t="n"/>
      <c r="H406" s="15" t="n"/>
      <c r="I406" s="15" t="n"/>
      <c r="J406" s="15" t="n"/>
      <c r="K406" s="15" t="n"/>
    </row>
    <row r="407">
      <c r="A407" s="15" t="n"/>
      <c r="B407" s="15" t="n"/>
      <c r="C407" s="15" t="n"/>
      <c r="D407" s="15" t="n"/>
      <c r="E407" s="15" t="n"/>
      <c r="F407" s="15" t="n"/>
      <c r="G407" s="15" t="n"/>
      <c r="H407" s="15" t="n"/>
      <c r="I407" s="15" t="n"/>
      <c r="J407" s="15" t="n"/>
      <c r="K407" s="15" t="n"/>
    </row>
    <row r="408">
      <c r="A408" s="15" t="n"/>
      <c r="B408" s="15" t="n"/>
      <c r="C408" s="15" t="n"/>
      <c r="D408" s="15" t="n"/>
      <c r="E408" s="15" t="n"/>
      <c r="F408" s="15" t="n"/>
      <c r="G408" s="15" t="n"/>
      <c r="H408" s="15" t="n"/>
      <c r="I408" s="15" t="n"/>
      <c r="J408" s="15" t="n"/>
      <c r="K408" s="15" t="n"/>
    </row>
    <row r="409">
      <c r="A409" s="15" t="n"/>
      <c r="B409" s="15" t="n"/>
      <c r="C409" s="15" t="n"/>
      <c r="D409" s="15" t="n"/>
      <c r="E409" s="15" t="n"/>
      <c r="F409" s="15" t="n"/>
      <c r="G409" s="15" t="n"/>
      <c r="H409" s="15" t="n"/>
      <c r="I409" s="15" t="n"/>
      <c r="J409" s="15" t="n"/>
      <c r="K409" s="15" t="n"/>
    </row>
    <row r="410">
      <c r="A410" s="15" t="n"/>
      <c r="B410" s="15" t="n"/>
      <c r="C410" s="15" t="n"/>
      <c r="D410" s="15" t="n"/>
      <c r="E410" s="15" t="n"/>
      <c r="F410" s="15" t="n"/>
      <c r="G410" s="15" t="n"/>
      <c r="H410" s="15" t="n"/>
      <c r="I410" s="15" t="n"/>
      <c r="J410" s="15" t="n"/>
      <c r="K410" s="15" t="n"/>
    </row>
    <row r="411">
      <c r="A411" s="15" t="n"/>
      <c r="B411" s="15" t="n"/>
      <c r="C411" s="15" t="n"/>
      <c r="D411" s="15" t="n"/>
      <c r="E411" s="15" t="n"/>
      <c r="F411" s="15" t="n"/>
      <c r="G411" s="15" t="n"/>
      <c r="H411" s="15" t="n"/>
      <c r="I411" s="15" t="n"/>
      <c r="J411" s="15" t="n"/>
      <c r="K411" s="15" t="n"/>
    </row>
    <row r="412">
      <c r="A412" s="15" t="n"/>
      <c r="B412" s="15" t="n"/>
      <c r="C412" s="15" t="n"/>
      <c r="D412" s="15" t="n"/>
      <c r="E412" s="15" t="n"/>
      <c r="F412" s="15" t="n"/>
      <c r="G412" s="15" t="n"/>
      <c r="H412" s="15" t="n"/>
      <c r="I412" s="15" t="n"/>
      <c r="J412" s="15" t="n"/>
      <c r="K412" s="15" t="n"/>
    </row>
    <row r="413">
      <c r="A413" s="15" t="n"/>
      <c r="B413" s="15" t="n"/>
      <c r="C413" s="15" t="n"/>
      <c r="D413" s="15" t="n"/>
      <c r="E413" s="15" t="n"/>
      <c r="F413" s="15" t="n"/>
      <c r="G413" s="15" t="n"/>
      <c r="H413" s="15" t="n"/>
      <c r="I413" s="15" t="n"/>
      <c r="J413" s="15" t="n"/>
      <c r="K413" s="15" t="n"/>
    </row>
    <row r="414">
      <c r="A414" s="15" t="n"/>
      <c r="B414" s="15" t="n"/>
      <c r="C414" s="15" t="n"/>
      <c r="D414" s="15" t="n"/>
      <c r="E414" s="15" t="n"/>
      <c r="F414" s="15" t="n"/>
      <c r="G414" s="15" t="n"/>
      <c r="H414" s="15" t="n"/>
      <c r="I414" s="15" t="n"/>
      <c r="J414" s="15" t="n"/>
      <c r="K414" s="15" t="n"/>
    </row>
    <row r="415">
      <c r="A415" s="15" t="n"/>
      <c r="B415" s="15" t="n"/>
      <c r="C415" s="15" t="n"/>
      <c r="D415" s="15" t="n"/>
      <c r="E415" s="15" t="n"/>
      <c r="F415" s="15" t="n"/>
      <c r="G415" s="15" t="n"/>
      <c r="H415" s="15" t="n"/>
      <c r="I415" s="15" t="n"/>
      <c r="J415" s="15" t="n"/>
      <c r="K415" s="15" t="n"/>
    </row>
    <row r="416">
      <c r="A416" s="15" t="n"/>
      <c r="B416" s="15" t="n"/>
      <c r="C416" s="15" t="n"/>
      <c r="D416" s="15" t="n"/>
      <c r="E416" s="15" t="n"/>
      <c r="F416" s="15" t="n"/>
      <c r="G416" s="15" t="n"/>
      <c r="H416" s="15" t="n"/>
      <c r="I416" s="15" t="n"/>
      <c r="J416" s="15" t="n"/>
      <c r="K416" s="15" t="n"/>
    </row>
    <row r="417">
      <c r="A417" s="15" t="n"/>
      <c r="B417" s="15" t="n"/>
      <c r="C417" s="15" t="n"/>
      <c r="D417" s="15" t="n"/>
      <c r="E417" s="15" t="n"/>
      <c r="F417" s="15" t="n"/>
      <c r="G417" s="15" t="n"/>
      <c r="H417" s="15" t="n"/>
      <c r="I417" s="15" t="n"/>
      <c r="J417" s="15" t="n"/>
      <c r="K417" s="15" t="n"/>
    </row>
    <row r="418">
      <c r="A418" s="15" t="n"/>
      <c r="B418" s="15" t="n"/>
      <c r="C418" s="15" t="n"/>
      <c r="D418" s="15" t="n"/>
      <c r="E418" s="15" t="n"/>
      <c r="F418" s="15" t="n"/>
      <c r="G418" s="15" t="n"/>
      <c r="H418" s="15" t="n"/>
      <c r="I418" s="15" t="n"/>
      <c r="J418" s="15" t="n"/>
      <c r="K418" s="15" t="n"/>
    </row>
    <row r="419">
      <c r="A419" s="15" t="n"/>
      <c r="B419" s="15" t="n"/>
      <c r="C419" s="15" t="n"/>
      <c r="D419" s="15" t="n"/>
      <c r="E419" s="15" t="n"/>
      <c r="F419" s="15" t="n"/>
      <c r="G419" s="15" t="n"/>
      <c r="H419" s="15" t="n"/>
      <c r="I419" s="15" t="n"/>
      <c r="J419" s="15" t="n"/>
      <c r="K419" s="15" t="n"/>
    </row>
    <row r="420">
      <c r="A420" s="15" t="n"/>
      <c r="B420" s="15" t="n"/>
      <c r="C420" s="15" t="n"/>
      <c r="D420" s="15" t="n"/>
      <c r="E420" s="15" t="n"/>
      <c r="F420" s="15" t="n"/>
      <c r="G420" s="15" t="n"/>
      <c r="H420" s="15" t="n"/>
      <c r="I420" s="15" t="n"/>
      <c r="J420" s="15" t="n"/>
      <c r="K420" s="15" t="n"/>
    </row>
    <row r="421">
      <c r="A421" s="15" t="n"/>
      <c r="B421" s="15" t="n"/>
      <c r="C421" s="15" t="n"/>
      <c r="D421" s="15" t="n"/>
      <c r="E421" s="15" t="n"/>
      <c r="F421" s="15" t="n"/>
      <c r="G421" s="15" t="n"/>
      <c r="H421" s="15" t="n"/>
      <c r="I421" s="15" t="n"/>
      <c r="J421" s="15" t="n"/>
      <c r="K421" s="15" t="n"/>
    </row>
    <row r="422">
      <c r="A422" s="15" t="n"/>
      <c r="B422" s="15" t="n"/>
      <c r="C422" s="15" t="n"/>
      <c r="D422" s="15" t="n"/>
      <c r="E422" s="15" t="n"/>
      <c r="F422" s="15" t="n"/>
      <c r="G422" s="15" t="n"/>
      <c r="H422" s="15" t="n"/>
      <c r="I422" s="15" t="n"/>
      <c r="J422" s="15" t="n"/>
      <c r="K422" s="15" t="n"/>
    </row>
    <row r="423">
      <c r="A423" s="15" t="n"/>
      <c r="B423" s="15" t="n"/>
      <c r="C423" s="15" t="n"/>
      <c r="D423" s="15" t="n"/>
      <c r="E423" s="15" t="n"/>
      <c r="F423" s="15" t="n"/>
      <c r="G423" s="15" t="n"/>
      <c r="H423" s="15" t="n"/>
      <c r="I423" s="15" t="n"/>
      <c r="J423" s="15" t="n"/>
      <c r="K423" s="15" t="n"/>
    </row>
    <row r="424">
      <c r="A424" s="15" t="n"/>
      <c r="B424" s="15" t="n"/>
      <c r="C424" s="15" t="n"/>
      <c r="D424" s="15" t="n"/>
      <c r="E424" s="15" t="n"/>
      <c r="F424" s="15" t="n"/>
      <c r="G424" s="15" t="n"/>
      <c r="H424" s="15" t="n"/>
      <c r="I424" s="15" t="n"/>
      <c r="J424" s="15" t="n"/>
      <c r="K424" s="15" t="n"/>
    </row>
    <row r="425">
      <c r="A425" s="15" t="n"/>
      <c r="B425" s="15" t="n"/>
      <c r="C425" s="15" t="n"/>
      <c r="D425" s="15" t="n"/>
      <c r="E425" s="15" t="n"/>
      <c r="F425" s="15" t="n"/>
      <c r="G425" s="15" t="n"/>
      <c r="H425" s="15" t="n"/>
      <c r="I425" s="15" t="n"/>
      <c r="J425" s="15" t="n"/>
      <c r="K425" s="15" t="n"/>
    </row>
    <row r="426">
      <c r="A426" s="15" t="n"/>
      <c r="B426" s="15" t="n"/>
      <c r="C426" s="15" t="n"/>
      <c r="D426" s="15" t="n"/>
      <c r="E426" s="15" t="n"/>
      <c r="F426" s="15" t="n"/>
      <c r="G426" s="15" t="n"/>
      <c r="H426" s="15" t="n"/>
      <c r="I426" s="15" t="n"/>
      <c r="J426" s="15" t="n"/>
      <c r="K426" s="15" t="n"/>
    </row>
    <row r="427">
      <c r="A427" s="15" t="n"/>
      <c r="B427" s="15" t="n"/>
      <c r="C427" s="15" t="n"/>
      <c r="D427" s="15" t="n"/>
      <c r="E427" s="15" t="n"/>
      <c r="F427" s="15" t="n"/>
      <c r="G427" s="15" t="n"/>
      <c r="H427" s="15" t="n"/>
      <c r="I427" s="15" t="n"/>
      <c r="J427" s="15" t="n"/>
      <c r="K427" s="15" t="n"/>
    </row>
    <row r="428">
      <c r="A428" s="15" t="n"/>
      <c r="B428" s="15" t="n"/>
      <c r="C428" s="15" t="n"/>
      <c r="D428" s="15" t="n"/>
      <c r="E428" s="15" t="n"/>
      <c r="F428" s="15" t="n"/>
      <c r="G428" s="15" t="n"/>
      <c r="H428" s="15" t="n"/>
      <c r="I428" s="15" t="n"/>
      <c r="J428" s="15" t="n"/>
      <c r="K428" s="15" t="n"/>
    </row>
    <row r="429">
      <c r="A429" s="15" t="n"/>
      <c r="B429" s="15" t="n"/>
      <c r="C429" s="15" t="n"/>
      <c r="D429" s="15" t="n"/>
      <c r="E429" s="15" t="n"/>
      <c r="F429" s="15" t="n"/>
      <c r="G429" s="15" t="n"/>
      <c r="H429" s="15" t="n"/>
      <c r="I429" s="15" t="n"/>
      <c r="J429" s="15" t="n"/>
      <c r="K429" s="15" t="n"/>
    </row>
    <row r="430">
      <c r="A430" s="15" t="n"/>
      <c r="B430" s="15" t="n"/>
      <c r="C430" s="15" t="n"/>
      <c r="D430" s="15" t="n"/>
      <c r="E430" s="15" t="n"/>
      <c r="F430" s="15" t="n"/>
      <c r="G430" s="15" t="n"/>
      <c r="H430" s="15" t="n"/>
      <c r="I430" s="15" t="n"/>
      <c r="J430" s="15" t="n"/>
      <c r="K430" s="15" t="n"/>
    </row>
    <row r="431">
      <c r="A431" s="15" t="n"/>
      <c r="B431" s="15" t="n"/>
      <c r="C431" s="15" t="n"/>
      <c r="D431" s="15" t="n"/>
      <c r="E431" s="15" t="n"/>
      <c r="F431" s="15" t="n"/>
      <c r="G431" s="15" t="n"/>
      <c r="H431" s="15" t="n"/>
      <c r="I431" s="15" t="n"/>
      <c r="J431" s="15" t="n"/>
      <c r="K431" s="15" t="n"/>
    </row>
    <row r="432">
      <c r="A432" s="15" t="n"/>
      <c r="B432" s="15" t="n"/>
      <c r="C432" s="15" t="n"/>
      <c r="D432" s="15" t="n"/>
      <c r="E432" s="15" t="n"/>
      <c r="F432" s="15" t="n"/>
      <c r="G432" s="15" t="n"/>
      <c r="H432" s="15" t="n"/>
      <c r="I432" s="15" t="n"/>
      <c r="J432" s="15" t="n"/>
      <c r="K432" s="15" t="n"/>
    </row>
    <row r="433">
      <c r="A433" s="15" t="n"/>
      <c r="B433" s="15" t="n"/>
      <c r="C433" s="15" t="n"/>
      <c r="D433" s="15" t="n"/>
      <c r="E433" s="15" t="n"/>
      <c r="F433" s="15" t="n"/>
      <c r="G433" s="15" t="n"/>
      <c r="H433" s="15" t="n"/>
      <c r="I433" s="15" t="n"/>
      <c r="J433" s="15" t="n"/>
      <c r="K433" s="15" t="n"/>
    </row>
    <row r="434">
      <c r="A434" s="15" t="n"/>
      <c r="B434" s="15" t="n"/>
      <c r="C434" s="15" t="n"/>
      <c r="D434" s="15" t="n"/>
      <c r="E434" s="15" t="n"/>
      <c r="F434" s="15" t="n"/>
      <c r="G434" s="15" t="n"/>
      <c r="H434" s="15" t="n"/>
      <c r="I434" s="15" t="n"/>
      <c r="J434" s="15" t="n"/>
      <c r="K434" s="15" t="n"/>
    </row>
    <row r="435">
      <c r="A435" s="15" t="n"/>
      <c r="B435" s="15" t="n"/>
      <c r="C435" s="15" t="n"/>
      <c r="D435" s="15" t="n"/>
      <c r="E435" s="15" t="n"/>
      <c r="F435" s="15" t="n"/>
      <c r="G435" s="15" t="n"/>
      <c r="H435" s="15" t="n"/>
      <c r="I435" s="15" t="n"/>
      <c r="J435" s="15" t="n"/>
      <c r="K435" s="15" t="n"/>
    </row>
    <row r="436">
      <c r="A436" s="15" t="n"/>
      <c r="B436" s="15" t="n"/>
      <c r="C436" s="15" t="n"/>
      <c r="D436" s="15" t="n"/>
      <c r="E436" s="15" t="n"/>
      <c r="F436" s="15" t="n"/>
      <c r="G436" s="15" t="n"/>
      <c r="H436" s="15" t="n"/>
      <c r="I436" s="15" t="n"/>
      <c r="J436" s="15" t="n"/>
      <c r="K436" s="15" t="n"/>
    </row>
    <row r="437">
      <c r="A437" s="15" t="n"/>
      <c r="B437" s="15" t="n"/>
      <c r="C437" s="15" t="n"/>
      <c r="D437" s="15" t="n"/>
      <c r="E437" s="15" t="n"/>
      <c r="F437" s="15" t="n"/>
      <c r="G437" s="15" t="n"/>
      <c r="H437" s="15" t="n"/>
      <c r="I437" s="15" t="n"/>
      <c r="J437" s="15" t="n"/>
      <c r="K437" s="15" t="n"/>
    </row>
    <row r="438">
      <c r="A438" s="15" t="n"/>
      <c r="B438" s="15" t="n"/>
      <c r="C438" s="15" t="n"/>
      <c r="D438" s="15" t="n"/>
      <c r="E438" s="15" t="n"/>
      <c r="F438" s="15" t="n"/>
      <c r="G438" s="15" t="n"/>
      <c r="H438" s="15" t="n"/>
      <c r="I438" s="15" t="n"/>
      <c r="J438" s="15" t="n"/>
      <c r="K438" s="15" t="n"/>
    </row>
    <row r="439">
      <c r="A439" s="15" t="n"/>
      <c r="B439" s="15" t="n"/>
      <c r="C439" s="15" t="n"/>
      <c r="D439" s="15" t="n"/>
      <c r="E439" s="15" t="n"/>
      <c r="F439" s="15" t="n"/>
      <c r="G439" s="15" t="n"/>
      <c r="H439" s="15" t="n"/>
      <c r="I439" s="15" t="n"/>
      <c r="J439" s="15" t="n"/>
      <c r="K439" s="15" t="n"/>
    </row>
    <row r="440">
      <c r="A440" s="15" t="n"/>
      <c r="B440" s="15" t="n"/>
      <c r="C440" s="15" t="n"/>
      <c r="D440" s="15" t="n"/>
      <c r="E440" s="15" t="n"/>
      <c r="F440" s="15" t="n"/>
      <c r="G440" s="15" t="n"/>
      <c r="H440" s="15" t="n"/>
      <c r="I440" s="15" t="n"/>
      <c r="J440" s="15" t="n"/>
      <c r="K440" s="15" t="n"/>
    </row>
    <row r="441">
      <c r="A441" s="15" t="n"/>
      <c r="B441" s="15" t="n"/>
      <c r="C441" s="15" t="n"/>
      <c r="D441" s="15" t="n"/>
      <c r="E441" s="15" t="n"/>
      <c r="F441" s="15" t="n"/>
      <c r="G441" s="15" t="n"/>
      <c r="H441" s="15" t="n"/>
      <c r="I441" s="15" t="n"/>
      <c r="J441" s="15" t="n"/>
      <c r="K441" s="15" t="n"/>
    </row>
    <row r="442">
      <c r="A442" s="15" t="n"/>
      <c r="B442" s="15" t="n"/>
      <c r="C442" s="15" t="n"/>
      <c r="D442" s="15" t="n"/>
      <c r="E442" s="15" t="n"/>
      <c r="F442" s="15" t="n"/>
      <c r="G442" s="15" t="n"/>
      <c r="H442" s="15" t="n"/>
      <c r="I442" s="15" t="n"/>
      <c r="J442" s="15" t="n"/>
      <c r="K442" s="15" t="n"/>
    </row>
    <row r="443">
      <c r="A443" s="15" t="n"/>
      <c r="B443" s="15" t="n"/>
      <c r="C443" s="15" t="n"/>
      <c r="D443" s="15" t="n"/>
      <c r="E443" s="15" t="n"/>
      <c r="F443" s="15" t="n"/>
      <c r="G443" s="15" t="n"/>
      <c r="H443" s="15" t="n"/>
      <c r="I443" s="15" t="n"/>
      <c r="J443" s="15" t="n"/>
      <c r="K443" s="15" t="n"/>
    </row>
    <row r="444">
      <c r="A444" s="15" t="n"/>
      <c r="B444" s="15" t="n"/>
      <c r="C444" s="15" t="n"/>
      <c r="D444" s="15" t="n"/>
      <c r="E444" s="15" t="n"/>
      <c r="F444" s="15" t="n"/>
      <c r="G444" s="15" t="n"/>
      <c r="H444" s="15" t="n"/>
      <c r="I444" s="15" t="n"/>
      <c r="J444" s="15" t="n"/>
      <c r="K444" s="15" t="n"/>
    </row>
    <row r="445">
      <c r="A445" s="15" t="n"/>
      <c r="B445" s="15" t="n"/>
      <c r="C445" s="15" t="n"/>
      <c r="D445" s="15" t="n"/>
      <c r="E445" s="15" t="n"/>
      <c r="F445" s="15" t="n"/>
      <c r="G445" s="15" t="n"/>
      <c r="H445" s="15" t="n"/>
      <c r="I445" s="15" t="n"/>
      <c r="J445" s="15" t="n"/>
      <c r="K445" s="15" t="n"/>
    </row>
    <row r="446">
      <c r="A446" s="15" t="n"/>
      <c r="B446" s="15" t="n"/>
      <c r="C446" s="15" t="n"/>
      <c r="D446" s="15" t="n"/>
      <c r="E446" s="15" t="n"/>
      <c r="F446" s="15" t="n"/>
      <c r="G446" s="15" t="n"/>
      <c r="H446" s="15" t="n"/>
      <c r="I446" s="15" t="n"/>
      <c r="J446" s="15" t="n"/>
      <c r="K446" s="15" t="n"/>
    </row>
    <row r="447">
      <c r="A447" s="15" t="n"/>
      <c r="B447" s="15" t="n"/>
      <c r="C447" s="15" t="n"/>
      <c r="D447" s="15" t="n"/>
      <c r="E447" s="15" t="n"/>
      <c r="F447" s="15" t="n"/>
      <c r="G447" s="15" t="n"/>
      <c r="H447" s="15" t="n"/>
      <c r="I447" s="15" t="n"/>
      <c r="J447" s="15" t="n"/>
      <c r="K447" s="15" t="n"/>
    </row>
    <row r="448">
      <c r="A448" s="15" t="n"/>
      <c r="B448" s="15" t="n"/>
      <c r="C448" s="15" t="n"/>
      <c r="D448" s="15" t="n"/>
      <c r="E448" s="15" t="n"/>
      <c r="F448" s="15" t="n"/>
      <c r="G448" s="15" t="n"/>
      <c r="H448" s="15" t="n"/>
      <c r="I448" s="15" t="n"/>
      <c r="J448" s="15" t="n"/>
      <c r="K448" s="15" t="n"/>
    </row>
    <row r="449">
      <c r="A449" s="15" t="n"/>
      <c r="B449" s="15" t="n"/>
      <c r="C449" s="15" t="n"/>
      <c r="D449" s="15" t="n"/>
      <c r="E449" s="15" t="n"/>
      <c r="F449" s="15" t="n"/>
      <c r="G449" s="15" t="n"/>
      <c r="H449" s="15" t="n"/>
      <c r="I449" s="15" t="n"/>
      <c r="J449" s="15" t="n"/>
      <c r="K449" s="15" t="n"/>
    </row>
    <row r="450">
      <c r="A450" s="15" t="n"/>
      <c r="B450" s="15" t="n"/>
      <c r="C450" s="15" t="n"/>
      <c r="D450" s="15" t="n"/>
      <c r="E450" s="15" t="n"/>
      <c r="F450" s="15" t="n"/>
      <c r="G450" s="15" t="n"/>
      <c r="H450" s="15" t="n"/>
      <c r="I450" s="15" t="n"/>
      <c r="J450" s="15" t="n"/>
      <c r="K450" s="15" t="n"/>
    </row>
    <row r="451">
      <c r="A451" s="15" t="n"/>
      <c r="B451" s="15" t="n"/>
      <c r="C451" s="15" t="n"/>
      <c r="D451" s="15" t="n"/>
      <c r="E451" s="15" t="n"/>
      <c r="F451" s="15" t="n"/>
      <c r="G451" s="15" t="n"/>
      <c r="H451" s="15" t="n"/>
      <c r="I451" s="15" t="n"/>
      <c r="J451" s="15" t="n"/>
      <c r="K451" s="15" t="n"/>
    </row>
    <row r="452">
      <c r="A452" s="15" t="n"/>
      <c r="B452" s="15" t="n"/>
      <c r="C452" s="15" t="n"/>
      <c r="D452" s="15" t="n"/>
      <c r="E452" s="15" t="n"/>
      <c r="F452" s="15" t="n"/>
      <c r="G452" s="15" t="n"/>
      <c r="H452" s="15" t="n"/>
      <c r="I452" s="15" t="n"/>
      <c r="J452" s="15" t="n"/>
      <c r="K452" s="15" t="n"/>
    </row>
    <row r="453">
      <c r="A453" s="15" t="n"/>
      <c r="B453" s="15" t="n"/>
      <c r="C453" s="15" t="n"/>
      <c r="D453" s="15" t="n"/>
      <c r="E453" s="15" t="n"/>
      <c r="F453" s="15" t="n"/>
      <c r="G453" s="15" t="n"/>
      <c r="H453" s="15" t="n"/>
      <c r="I453" s="15" t="n"/>
      <c r="J453" s="15" t="n"/>
      <c r="K453" s="15" t="n"/>
    </row>
    <row r="454">
      <c r="A454" s="15" t="n"/>
      <c r="B454" s="15" t="n"/>
      <c r="C454" s="15" t="n"/>
      <c r="D454" s="15" t="n"/>
      <c r="E454" s="15" t="n"/>
      <c r="F454" s="15" t="n"/>
      <c r="G454" s="15" t="n"/>
      <c r="H454" s="15" t="n"/>
      <c r="I454" s="15" t="n"/>
      <c r="J454" s="15" t="n"/>
      <c r="K454" s="15" t="n"/>
    </row>
    <row r="455">
      <c r="A455" s="15" t="n"/>
      <c r="B455" s="15" t="n"/>
      <c r="C455" s="15" t="n"/>
      <c r="D455" s="15" t="n"/>
      <c r="E455" s="15" t="n"/>
      <c r="F455" s="15" t="n"/>
      <c r="G455" s="15" t="n"/>
      <c r="H455" s="15" t="n"/>
      <c r="I455" s="15" t="n"/>
      <c r="J455" s="15" t="n"/>
      <c r="K455" s="15" t="n"/>
    </row>
    <row r="456">
      <c r="A456" s="15" t="n"/>
      <c r="B456" s="15" t="n"/>
      <c r="C456" s="15" t="n"/>
      <c r="D456" s="15" t="n"/>
      <c r="E456" s="15" t="n"/>
      <c r="F456" s="15" t="n"/>
      <c r="G456" s="15" t="n"/>
      <c r="H456" s="15" t="n"/>
      <c r="I456" s="15" t="n"/>
      <c r="J456" s="15" t="n"/>
      <c r="K456" s="15" t="n"/>
    </row>
    <row r="457">
      <c r="A457" s="15" t="n"/>
      <c r="B457" s="15" t="n"/>
      <c r="C457" s="15" t="n"/>
      <c r="D457" s="15" t="n"/>
      <c r="E457" s="15" t="n"/>
      <c r="F457" s="15" t="n"/>
      <c r="G457" s="15" t="n"/>
      <c r="H457" s="15" t="n"/>
      <c r="I457" s="15" t="n"/>
      <c r="J457" s="15" t="n"/>
      <c r="K457" s="15" t="n"/>
    </row>
    <row r="458">
      <c r="A458" s="15" t="n"/>
      <c r="B458" s="15" t="n"/>
      <c r="C458" s="15" t="n"/>
      <c r="D458" s="15" t="n"/>
      <c r="E458" s="15" t="n"/>
      <c r="F458" s="15" t="n"/>
      <c r="G458" s="15" t="n"/>
      <c r="H458" s="15" t="n"/>
      <c r="I458" s="15" t="n"/>
      <c r="J458" s="15" t="n"/>
      <c r="K458" s="15" t="n"/>
    </row>
    <row r="459">
      <c r="A459" s="15" t="n"/>
      <c r="B459" s="15" t="n"/>
      <c r="C459" s="15" t="n"/>
      <c r="D459" s="15" t="n"/>
      <c r="E459" s="15" t="n"/>
      <c r="F459" s="15" t="n"/>
      <c r="G459" s="15" t="n"/>
      <c r="H459" s="15" t="n"/>
      <c r="I459" s="15" t="n"/>
      <c r="J459" s="15" t="n"/>
      <c r="K459" s="15" t="n"/>
    </row>
    <row r="460">
      <c r="A460" s="15" t="n"/>
      <c r="B460" s="15" t="n"/>
      <c r="C460" s="15" t="n"/>
      <c r="D460" s="15" t="n"/>
      <c r="E460" s="15" t="n"/>
      <c r="F460" s="15" t="n"/>
      <c r="G460" s="15" t="n"/>
      <c r="H460" s="15" t="n"/>
      <c r="I460" s="15" t="n"/>
      <c r="J460" s="15" t="n"/>
      <c r="K460" s="15" t="n"/>
    </row>
    <row r="461">
      <c r="A461" s="15" t="n"/>
      <c r="B461" s="15" t="n"/>
      <c r="C461" s="15" t="n"/>
      <c r="D461" s="15" t="n"/>
      <c r="E461" s="15" t="n"/>
      <c r="F461" s="15" t="n"/>
      <c r="G461" s="15" t="n"/>
      <c r="H461" s="15" t="n"/>
      <c r="I461" s="15" t="n"/>
      <c r="J461" s="15" t="n"/>
      <c r="K461" s="15" t="n"/>
    </row>
    <row r="462">
      <c r="A462" s="15" t="n"/>
      <c r="B462" s="15" t="n"/>
      <c r="C462" s="15" t="n"/>
      <c r="D462" s="15" t="n"/>
      <c r="E462" s="15" t="n"/>
      <c r="F462" s="15" t="n"/>
      <c r="G462" s="15" t="n"/>
      <c r="H462" s="15" t="n"/>
      <c r="I462" s="15" t="n"/>
      <c r="J462" s="15" t="n"/>
      <c r="K462" s="15" t="n"/>
    </row>
    <row r="463">
      <c r="A463" s="15" t="n"/>
      <c r="B463" s="15" t="n"/>
      <c r="C463" s="15" t="n"/>
      <c r="D463" s="15" t="n"/>
      <c r="E463" s="15" t="n"/>
      <c r="F463" s="15" t="n"/>
      <c r="G463" s="15" t="n"/>
      <c r="H463" s="15" t="n"/>
      <c r="I463" s="15" t="n"/>
      <c r="J463" s="15" t="n"/>
      <c r="K463" s="15" t="n"/>
    </row>
    <row r="464">
      <c r="A464" s="15" t="n"/>
      <c r="B464" s="15" t="n"/>
      <c r="C464" s="15" t="n"/>
      <c r="D464" s="15" t="n"/>
      <c r="E464" s="15" t="n"/>
      <c r="F464" s="15" t="n"/>
      <c r="G464" s="15" t="n"/>
      <c r="H464" s="15" t="n"/>
      <c r="I464" s="15" t="n"/>
      <c r="J464" s="15" t="n"/>
      <c r="K464" s="15" t="n"/>
    </row>
    <row r="465">
      <c r="A465" s="15" t="n"/>
      <c r="B465" s="15" t="n"/>
      <c r="C465" s="15" t="n"/>
      <c r="D465" s="15" t="n"/>
      <c r="E465" s="15" t="n"/>
      <c r="F465" s="15" t="n"/>
      <c r="G465" s="15" t="n"/>
      <c r="H465" s="15" t="n"/>
      <c r="I465" s="15" t="n"/>
      <c r="J465" s="15" t="n"/>
      <c r="K465" s="15" t="n"/>
    </row>
    <row r="466">
      <c r="A466" s="15" t="n"/>
      <c r="B466" s="15" t="n"/>
      <c r="C466" s="15" t="n"/>
      <c r="D466" s="15" t="n"/>
      <c r="E466" s="15" t="n"/>
      <c r="F466" s="15" t="n"/>
      <c r="G466" s="15" t="n"/>
      <c r="H466" s="15" t="n"/>
      <c r="I466" s="15" t="n"/>
      <c r="J466" s="15" t="n"/>
      <c r="K466" s="15" t="n"/>
    </row>
    <row r="467">
      <c r="A467" s="15" t="n"/>
      <c r="B467" s="15" t="n"/>
      <c r="C467" s="15" t="n"/>
      <c r="D467" s="15" t="n"/>
      <c r="E467" s="15" t="n"/>
      <c r="F467" s="15" t="n"/>
      <c r="G467" s="15" t="n"/>
      <c r="H467" s="15" t="n"/>
      <c r="I467" s="15" t="n"/>
      <c r="J467" s="15" t="n"/>
      <c r="K467" s="15" t="n"/>
    </row>
    <row r="468">
      <c r="A468" s="15" t="n"/>
      <c r="B468" s="15" t="n"/>
      <c r="C468" s="15" t="n"/>
      <c r="D468" s="15" t="n"/>
      <c r="E468" s="15" t="n"/>
      <c r="F468" s="15" t="n"/>
      <c r="G468" s="15" t="n"/>
      <c r="H468" s="15" t="n"/>
      <c r="I468" s="15" t="n"/>
      <c r="J468" s="15" t="n"/>
      <c r="K468" s="15" t="n"/>
    </row>
    <row r="469">
      <c r="A469" s="15" t="n"/>
      <c r="B469" s="15" t="n"/>
      <c r="C469" s="15" t="n"/>
      <c r="D469" s="15" t="n"/>
      <c r="E469" s="15" t="n"/>
      <c r="F469" s="15" t="n"/>
      <c r="G469" s="15" t="n"/>
      <c r="H469" s="15" t="n"/>
      <c r="I469" s="15" t="n"/>
      <c r="J469" s="15" t="n"/>
      <c r="K469" s="15" t="n"/>
    </row>
    <row r="470">
      <c r="A470" s="15" t="n"/>
      <c r="B470" s="15" t="n"/>
      <c r="C470" s="15" t="n"/>
      <c r="D470" s="15" t="n"/>
      <c r="E470" s="15" t="n"/>
      <c r="F470" s="15" t="n"/>
      <c r="G470" s="15" t="n"/>
      <c r="H470" s="15" t="n"/>
      <c r="I470" s="15" t="n"/>
      <c r="J470" s="15" t="n"/>
      <c r="K470" s="15" t="n"/>
    </row>
    <row r="471">
      <c r="A471" s="15" t="n"/>
      <c r="B471" s="15" t="n"/>
      <c r="C471" s="15" t="n"/>
      <c r="D471" s="15" t="n"/>
      <c r="E471" s="15" t="n"/>
      <c r="F471" s="15" t="n"/>
      <c r="G471" s="15" t="n"/>
      <c r="H471" s="15" t="n"/>
      <c r="I471" s="15" t="n"/>
      <c r="J471" s="15" t="n"/>
      <c r="K471" s="15" t="n"/>
    </row>
    <row r="472">
      <c r="A472" s="15" t="n"/>
      <c r="B472" s="15" t="n"/>
      <c r="C472" s="15" t="n"/>
      <c r="D472" s="15" t="n"/>
      <c r="E472" s="15" t="n"/>
      <c r="F472" s="15" t="n"/>
      <c r="G472" s="15" t="n"/>
      <c r="H472" s="15" t="n"/>
      <c r="I472" s="15" t="n"/>
      <c r="J472" s="15" t="n"/>
      <c r="K472" s="15" t="n"/>
    </row>
    <row r="473">
      <c r="A473" s="15" t="n"/>
      <c r="B473" s="15" t="n"/>
      <c r="C473" s="15" t="n"/>
      <c r="D473" s="15" t="n"/>
      <c r="E473" s="15" t="n"/>
      <c r="F473" s="15" t="n"/>
      <c r="G473" s="15" t="n"/>
      <c r="H473" s="15" t="n"/>
      <c r="I473" s="15" t="n"/>
      <c r="J473" s="15" t="n"/>
      <c r="K473" s="15" t="n"/>
    </row>
    <row r="474">
      <c r="A474" s="15" t="n"/>
      <c r="B474" s="15" t="n"/>
      <c r="C474" s="15" t="n"/>
      <c r="D474" s="15" t="n"/>
      <c r="E474" s="15" t="n"/>
      <c r="F474" s="15" t="n"/>
      <c r="G474" s="15" t="n"/>
      <c r="H474" s="15" t="n"/>
      <c r="I474" s="15" t="n"/>
      <c r="J474" s="15" t="n"/>
      <c r="K474" s="15" t="n"/>
    </row>
    <row r="475">
      <c r="A475" s="15" t="n"/>
      <c r="B475" s="15" t="n"/>
      <c r="C475" s="15" t="n"/>
      <c r="D475" s="15" t="n"/>
      <c r="E475" s="15" t="n"/>
      <c r="F475" s="15" t="n"/>
      <c r="G475" s="15" t="n"/>
      <c r="H475" s="15" t="n"/>
      <c r="I475" s="15" t="n"/>
      <c r="J475" s="15" t="n"/>
      <c r="K475" s="15" t="n"/>
    </row>
    <row r="476">
      <c r="A476" s="15" t="n"/>
      <c r="B476" s="15" t="n"/>
      <c r="C476" s="15" t="n"/>
      <c r="D476" s="15" t="n"/>
      <c r="E476" s="15" t="n"/>
      <c r="F476" s="15" t="n"/>
      <c r="G476" s="15" t="n"/>
      <c r="H476" s="15" t="n"/>
      <c r="I476" s="15" t="n"/>
      <c r="J476" s="15" t="n"/>
      <c r="K476" s="15" t="n"/>
    </row>
    <row r="477">
      <c r="A477" s="15" t="n"/>
      <c r="B477" s="15" t="n"/>
      <c r="C477" s="15" t="n"/>
      <c r="D477" s="15" t="n"/>
      <c r="E477" s="15" t="n"/>
      <c r="F477" s="15" t="n"/>
      <c r="G477" s="15" t="n"/>
      <c r="H477" s="15" t="n"/>
      <c r="I477" s="15" t="n"/>
      <c r="J477" s="15" t="n"/>
      <c r="K477" s="15" t="n"/>
    </row>
    <row r="478">
      <c r="A478" s="15" t="n"/>
      <c r="B478" s="15" t="n"/>
      <c r="C478" s="15" t="n"/>
      <c r="D478" s="15" t="n"/>
      <c r="E478" s="15" t="n"/>
      <c r="F478" s="15" t="n"/>
      <c r="G478" s="15" t="n"/>
      <c r="H478" s="15" t="n"/>
      <c r="I478" s="15" t="n"/>
      <c r="J478" s="15" t="n"/>
      <c r="K478" s="15" t="n"/>
    </row>
    <row r="479">
      <c r="A479" s="15" t="n"/>
      <c r="B479" s="15" t="n"/>
      <c r="C479" s="15" t="n"/>
      <c r="D479" s="15" t="n"/>
      <c r="E479" s="15" t="n"/>
      <c r="F479" s="15" t="n"/>
      <c r="G479" s="15" t="n"/>
      <c r="H479" s="15" t="n"/>
      <c r="I479" s="15" t="n"/>
      <c r="J479" s="15" t="n"/>
      <c r="K479" s="15" t="n"/>
    </row>
    <row r="480">
      <c r="A480" s="15" t="n"/>
      <c r="B480" s="15" t="n"/>
      <c r="C480" s="15" t="n"/>
      <c r="D480" s="15" t="n"/>
      <c r="E480" s="15" t="n"/>
      <c r="F480" s="15" t="n"/>
      <c r="G480" s="15" t="n"/>
      <c r="H480" s="15" t="n"/>
      <c r="I480" s="15" t="n"/>
      <c r="J480" s="15" t="n"/>
      <c r="K480" s="15" t="n"/>
    </row>
    <row r="481">
      <c r="A481" s="15" t="n"/>
      <c r="B481" s="15" t="n"/>
      <c r="C481" s="15" t="n"/>
      <c r="D481" s="15" t="n"/>
      <c r="E481" s="15" t="n"/>
      <c r="F481" s="15" t="n"/>
      <c r="G481" s="15" t="n"/>
      <c r="H481" s="15" t="n"/>
      <c r="I481" s="15" t="n"/>
      <c r="J481" s="15" t="n"/>
      <c r="K481" s="15" t="n"/>
    </row>
    <row r="482">
      <c r="A482" s="15" t="n"/>
      <c r="B482" s="15" t="n"/>
      <c r="C482" s="15" t="n"/>
      <c r="D482" s="15" t="n"/>
      <c r="E482" s="15" t="n"/>
      <c r="F482" s="15" t="n"/>
      <c r="G482" s="15" t="n"/>
      <c r="H482" s="15" t="n"/>
      <c r="I482" s="15" t="n"/>
      <c r="J482" s="15" t="n"/>
      <c r="K482" s="15" t="n"/>
    </row>
    <row r="483">
      <c r="A483" s="15" t="n"/>
      <c r="B483" s="15" t="n"/>
      <c r="C483" s="15" t="n"/>
      <c r="D483" s="15" t="n"/>
      <c r="E483" s="15" t="n"/>
      <c r="F483" s="15" t="n"/>
      <c r="G483" s="15" t="n"/>
      <c r="H483" s="15" t="n"/>
      <c r="I483" s="15" t="n"/>
      <c r="J483" s="15" t="n"/>
      <c r="K483" s="15" t="n"/>
    </row>
    <row r="484">
      <c r="A484" s="15" t="n"/>
      <c r="B484" s="15" t="n"/>
      <c r="C484" s="15" t="n"/>
      <c r="D484" s="15" t="n"/>
      <c r="E484" s="15" t="n"/>
      <c r="F484" s="15" t="n"/>
      <c r="G484" s="15" t="n"/>
      <c r="H484" s="15" t="n"/>
      <c r="I484" s="15" t="n"/>
      <c r="J484" s="15" t="n"/>
      <c r="K484" s="15" t="n"/>
    </row>
    <row r="485">
      <c r="A485" s="15" t="n"/>
      <c r="B485" s="15" t="n"/>
      <c r="C485" s="15" t="n"/>
      <c r="D485" s="15" t="n"/>
      <c r="E485" s="15" t="n"/>
      <c r="F485" s="15" t="n"/>
      <c r="G485" s="15" t="n"/>
      <c r="H485" s="15" t="n"/>
      <c r="I485" s="15" t="n"/>
      <c r="J485" s="15" t="n"/>
      <c r="K485" s="15" t="n"/>
    </row>
    <row r="486">
      <c r="A486" s="15" t="n"/>
      <c r="B486" s="15" t="n"/>
      <c r="C486" s="15" t="n"/>
      <c r="D486" s="15" t="n"/>
      <c r="E486" s="15" t="n"/>
      <c r="F486" s="15" t="n"/>
      <c r="G486" s="15" t="n"/>
      <c r="H486" s="15" t="n"/>
      <c r="I486" s="15" t="n"/>
      <c r="J486" s="15" t="n"/>
      <c r="K486" s="15" t="n"/>
    </row>
    <row r="487">
      <c r="A487" s="15" t="n"/>
      <c r="B487" s="15" t="n"/>
      <c r="C487" s="15" t="n"/>
      <c r="D487" s="15" t="n"/>
      <c r="E487" s="15" t="n"/>
      <c r="F487" s="15" t="n"/>
      <c r="G487" s="15" t="n"/>
      <c r="H487" s="15" t="n"/>
      <c r="I487" s="15" t="n"/>
      <c r="J487" s="15" t="n"/>
      <c r="K487" s="15" t="n"/>
    </row>
    <row r="488">
      <c r="A488" s="15" t="n"/>
      <c r="B488" s="15" t="n"/>
      <c r="C488" s="15" t="n"/>
      <c r="D488" s="15" t="n"/>
      <c r="E488" s="15" t="n"/>
      <c r="F488" s="15" t="n"/>
      <c r="G488" s="15" t="n"/>
      <c r="H488" s="15" t="n"/>
      <c r="I488" s="15" t="n"/>
      <c r="J488" s="15" t="n"/>
      <c r="K488" s="15" t="n"/>
    </row>
    <row r="489">
      <c r="A489" s="15" t="n"/>
      <c r="B489" s="15" t="n"/>
      <c r="C489" s="15" t="n"/>
      <c r="D489" s="15" t="n"/>
      <c r="E489" s="15" t="n"/>
      <c r="F489" s="15" t="n"/>
      <c r="G489" s="15" t="n"/>
      <c r="H489" s="15" t="n"/>
      <c r="I489" s="15" t="n"/>
      <c r="J489" s="15" t="n"/>
      <c r="K489" s="15" t="n"/>
    </row>
    <row r="490">
      <c r="A490" s="15" t="n"/>
      <c r="B490" s="15" t="n"/>
      <c r="C490" s="15" t="n"/>
      <c r="D490" s="15" t="n"/>
      <c r="E490" s="15" t="n"/>
      <c r="F490" s="15" t="n"/>
      <c r="G490" s="15" t="n"/>
      <c r="H490" s="15" t="n"/>
      <c r="I490" s="15" t="n"/>
      <c r="J490" s="15" t="n"/>
      <c r="K490" s="15" t="n"/>
    </row>
    <row r="491">
      <c r="A491" s="15" t="n"/>
      <c r="B491" s="15" t="n"/>
      <c r="C491" s="15" t="n"/>
      <c r="D491" s="15" t="n"/>
      <c r="E491" s="15" t="n"/>
      <c r="F491" s="15" t="n"/>
      <c r="G491" s="15" t="n"/>
      <c r="H491" s="15" t="n"/>
      <c r="I491" s="15" t="n"/>
      <c r="J491" s="15" t="n"/>
      <c r="K491" s="15" t="n"/>
    </row>
    <row r="492">
      <c r="A492" s="15" t="n"/>
      <c r="B492" s="15" t="n"/>
      <c r="C492" s="15" t="n"/>
      <c r="D492" s="15" t="n"/>
      <c r="E492" s="15" t="n"/>
      <c r="F492" s="15" t="n"/>
      <c r="G492" s="15" t="n"/>
      <c r="H492" s="15" t="n"/>
      <c r="I492" s="15" t="n"/>
      <c r="J492" s="15" t="n"/>
      <c r="K492" s="15" t="n"/>
    </row>
    <row r="493">
      <c r="A493" s="15" t="n"/>
      <c r="B493" s="15" t="n"/>
      <c r="C493" s="15" t="n"/>
      <c r="D493" s="15" t="n"/>
      <c r="E493" s="15" t="n"/>
      <c r="F493" s="15" t="n"/>
      <c r="G493" s="15" t="n"/>
      <c r="H493" s="15" t="n"/>
      <c r="I493" s="15" t="n"/>
      <c r="J493" s="15" t="n"/>
      <c r="K493" s="15" t="n"/>
    </row>
    <row r="494">
      <c r="A494" s="15" t="n"/>
      <c r="B494" s="15" t="n"/>
      <c r="C494" s="15" t="n"/>
      <c r="D494" s="15" t="n"/>
      <c r="E494" s="15" t="n"/>
      <c r="F494" s="15" t="n"/>
      <c r="G494" s="15" t="n"/>
      <c r="H494" s="15" t="n"/>
      <c r="I494" s="15" t="n"/>
      <c r="J494" s="15" t="n"/>
      <c r="K494" s="15" t="n"/>
    </row>
    <row r="495">
      <c r="A495" s="15" t="n"/>
      <c r="B495" s="15" t="n"/>
      <c r="C495" s="15" t="n"/>
      <c r="D495" s="15" t="n"/>
      <c r="E495" s="15" t="n"/>
      <c r="F495" s="15" t="n"/>
      <c r="G495" s="15" t="n"/>
      <c r="H495" s="15" t="n"/>
      <c r="I495" s="15" t="n"/>
      <c r="J495" s="15" t="n"/>
      <c r="K495" s="15" t="n"/>
    </row>
    <row r="496">
      <c r="A496" s="15" t="n"/>
      <c r="B496" s="15" t="n"/>
      <c r="C496" s="15" t="n"/>
      <c r="D496" s="15" t="n"/>
      <c r="E496" s="15" t="n"/>
      <c r="F496" s="15" t="n"/>
      <c r="G496" s="15" t="n"/>
      <c r="H496" s="15" t="n"/>
      <c r="I496" s="15" t="n"/>
      <c r="J496" s="15" t="n"/>
      <c r="K496" s="15" t="n"/>
    </row>
    <row r="497">
      <c r="A497" s="15" t="n"/>
      <c r="B497" s="15" t="n"/>
      <c r="C497" s="15" t="n"/>
      <c r="D497" s="15" t="n"/>
      <c r="E497" s="15" t="n"/>
      <c r="F497" s="15" t="n"/>
      <c r="G497" s="15" t="n"/>
      <c r="H497" s="15" t="n"/>
      <c r="I497" s="15" t="n"/>
      <c r="J497" s="15" t="n"/>
      <c r="K497" s="15" t="n"/>
    </row>
    <row r="498">
      <c r="A498" s="15" t="n"/>
      <c r="B498" s="15" t="n"/>
      <c r="C498" s="15" t="n"/>
      <c r="D498" s="15" t="n"/>
      <c r="E498" s="15" t="n"/>
      <c r="F498" s="15" t="n"/>
      <c r="G498" s="15" t="n"/>
      <c r="H498" s="15" t="n"/>
      <c r="I498" s="15" t="n"/>
      <c r="J498" s="15" t="n"/>
      <c r="K498" s="15" t="n"/>
    </row>
    <row r="499">
      <c r="A499" s="15" t="n"/>
      <c r="B499" s="15" t="n"/>
      <c r="C499" s="15" t="n"/>
      <c r="D499" s="15" t="n"/>
      <c r="E499" s="15" t="n"/>
      <c r="F499" s="15" t="n"/>
      <c r="G499" s="15" t="n"/>
      <c r="H499" s="15" t="n"/>
      <c r="I499" s="15" t="n"/>
      <c r="J499" s="15" t="n"/>
      <c r="K499" s="15" t="n"/>
    </row>
    <row r="500">
      <c r="A500" s="15" t="n"/>
      <c r="B500" s="15" t="n"/>
      <c r="C500" s="15" t="n"/>
      <c r="D500" s="15" t="n"/>
      <c r="E500" s="15" t="n"/>
      <c r="F500" s="15" t="n"/>
      <c r="G500" s="15" t="n"/>
      <c r="H500" s="15" t="n"/>
      <c r="I500" s="15" t="n"/>
      <c r="J500" s="15" t="n"/>
      <c r="K500" s="15" t="n"/>
    </row>
    <row r="501">
      <c r="A501" s="15" t="n"/>
      <c r="B501" s="15" t="n"/>
      <c r="C501" s="15" t="n"/>
      <c r="D501" s="15" t="n"/>
      <c r="E501" s="15" t="n"/>
      <c r="F501" s="15" t="n"/>
      <c r="G501" s="15" t="n"/>
      <c r="H501" s="15" t="n"/>
      <c r="I501" s="15" t="n"/>
      <c r="J501" s="15" t="n"/>
      <c r="K501" s="15" t="n"/>
    </row>
    <row r="502">
      <c r="A502" s="15" t="n"/>
      <c r="B502" s="15" t="n"/>
      <c r="C502" s="15" t="n"/>
      <c r="D502" s="15" t="n"/>
      <c r="E502" s="15" t="n"/>
      <c r="F502" s="15" t="n"/>
      <c r="G502" s="15" t="n"/>
      <c r="H502" s="15" t="n"/>
      <c r="I502" s="15" t="n"/>
      <c r="J502" s="15" t="n"/>
      <c r="K502" s="15" t="n"/>
    </row>
    <row r="503">
      <c r="A503" s="15" t="n"/>
      <c r="B503" s="15" t="n"/>
      <c r="C503" s="15" t="n"/>
      <c r="D503" s="15" t="n"/>
      <c r="E503" s="15" t="n"/>
      <c r="F503" s="15" t="n"/>
      <c r="G503" s="15" t="n"/>
      <c r="H503" s="15" t="n"/>
      <c r="I503" s="15" t="n"/>
      <c r="J503" s="15" t="n"/>
      <c r="K503" s="15" t="n"/>
    </row>
    <row r="504">
      <c r="A504" s="15" t="n"/>
      <c r="B504" s="15" t="n"/>
      <c r="C504" s="15" t="n"/>
      <c r="D504" s="15" t="n"/>
      <c r="E504" s="15" t="n"/>
      <c r="F504" s="15" t="n"/>
      <c r="G504" s="15" t="n"/>
      <c r="H504" s="15" t="n"/>
      <c r="I504" s="15" t="n"/>
      <c r="J504" s="15" t="n"/>
      <c r="K504" s="15" t="n"/>
    </row>
    <row r="505">
      <c r="A505" s="15" t="n"/>
      <c r="B505" s="15" t="n"/>
      <c r="C505" s="15" t="n"/>
      <c r="D505" s="15" t="n"/>
      <c r="E505" s="15" t="n"/>
      <c r="F505" s="15" t="n"/>
      <c r="G505" s="15" t="n"/>
      <c r="H505" s="15" t="n"/>
      <c r="I505" s="15" t="n"/>
      <c r="J505" s="15" t="n"/>
      <c r="K505" s="15" t="n"/>
    </row>
    <row r="506">
      <c r="A506" s="15" t="n"/>
      <c r="B506" s="15" t="n"/>
      <c r="C506" s="15" t="n"/>
      <c r="D506" s="15" t="n"/>
      <c r="E506" s="15" t="n"/>
      <c r="F506" s="15" t="n"/>
      <c r="G506" s="15" t="n"/>
      <c r="H506" s="15" t="n"/>
      <c r="I506" s="15" t="n"/>
      <c r="J506" s="15" t="n"/>
      <c r="K506" s="15" t="n"/>
    </row>
    <row r="507">
      <c r="A507" s="15" t="n"/>
      <c r="B507" s="15" t="n"/>
      <c r="C507" s="15" t="n"/>
      <c r="D507" s="15" t="n"/>
      <c r="E507" s="15" t="n"/>
      <c r="F507" s="15" t="n"/>
      <c r="G507" s="15" t="n"/>
      <c r="H507" s="15" t="n"/>
      <c r="I507" s="15" t="n"/>
      <c r="J507" s="15" t="n"/>
      <c r="K507" s="15" t="n"/>
    </row>
    <row r="508">
      <c r="A508" s="15" t="n"/>
      <c r="B508" s="15" t="n"/>
      <c r="C508" s="15" t="n"/>
      <c r="D508" s="15" t="n"/>
      <c r="E508" s="15" t="n"/>
      <c r="F508" s="15" t="n"/>
      <c r="G508" s="15" t="n"/>
      <c r="H508" s="15" t="n"/>
      <c r="I508" s="15" t="n"/>
      <c r="J508" s="15" t="n"/>
      <c r="K508" s="15" t="n"/>
    </row>
    <row r="509">
      <c r="A509" s="15" t="n"/>
      <c r="B509" s="15" t="n"/>
      <c r="C509" s="15" t="n"/>
      <c r="D509" s="15" t="n"/>
      <c r="E509" s="15" t="n"/>
      <c r="F509" s="15" t="n"/>
      <c r="G509" s="15" t="n"/>
      <c r="H509" s="15" t="n"/>
      <c r="I509" s="15" t="n"/>
      <c r="J509" s="15" t="n"/>
      <c r="K509" s="15" t="n"/>
    </row>
    <row r="510">
      <c r="A510" s="15" t="n"/>
      <c r="B510" s="15" t="n"/>
      <c r="C510" s="15" t="n"/>
      <c r="D510" s="15" t="n"/>
      <c r="E510" s="15" t="n"/>
      <c r="F510" s="15" t="n"/>
      <c r="G510" s="15" t="n"/>
      <c r="H510" s="15" t="n"/>
      <c r="I510" s="15" t="n"/>
      <c r="J510" s="15" t="n"/>
      <c r="K510" s="15" t="n"/>
    </row>
    <row r="511">
      <c r="A511" s="15" t="n"/>
      <c r="B511" s="15" t="n"/>
      <c r="C511" s="15" t="n"/>
      <c r="D511" s="15" t="n"/>
      <c r="E511" s="15" t="n"/>
      <c r="F511" s="15" t="n"/>
      <c r="G511" s="15" t="n"/>
      <c r="H511" s="15" t="n"/>
      <c r="I511" s="15" t="n"/>
      <c r="J511" s="15" t="n"/>
      <c r="K511" s="15" t="n"/>
    </row>
    <row r="512">
      <c r="A512" s="15" t="n"/>
      <c r="B512" s="15" t="n"/>
      <c r="C512" s="15" t="n"/>
      <c r="D512" s="15" t="n"/>
      <c r="E512" s="15" t="n"/>
      <c r="F512" s="15" t="n"/>
      <c r="G512" s="15" t="n"/>
      <c r="H512" s="15" t="n"/>
      <c r="I512" s="15" t="n"/>
      <c r="J512" s="15" t="n"/>
      <c r="K512" s="15" t="n"/>
    </row>
    <row r="513">
      <c r="A513" s="15" t="n"/>
      <c r="B513" s="15" t="n"/>
      <c r="C513" s="15" t="n"/>
      <c r="D513" s="15" t="n"/>
      <c r="E513" s="15" t="n"/>
      <c r="F513" s="15" t="n"/>
      <c r="G513" s="15" t="n"/>
      <c r="H513" s="15" t="n"/>
      <c r="I513" s="15" t="n"/>
      <c r="J513" s="15" t="n"/>
      <c r="K513" s="15" t="n"/>
    </row>
    <row r="514">
      <c r="A514" s="15" t="n"/>
      <c r="B514" s="15" t="n"/>
      <c r="C514" s="15" t="n"/>
      <c r="D514" s="15" t="n"/>
      <c r="E514" s="15" t="n"/>
      <c r="F514" s="15" t="n"/>
      <c r="G514" s="15" t="n"/>
      <c r="H514" s="15" t="n"/>
      <c r="I514" s="15" t="n"/>
      <c r="J514" s="15" t="n"/>
      <c r="K514" s="15" t="n"/>
    </row>
    <row r="515">
      <c r="A515" s="15" t="n"/>
      <c r="B515" s="15" t="n"/>
      <c r="C515" s="15" t="n"/>
      <c r="D515" s="15" t="n"/>
      <c r="E515" s="15" t="n"/>
      <c r="F515" s="15" t="n"/>
      <c r="G515" s="15" t="n"/>
      <c r="H515" s="15" t="n"/>
      <c r="I515" s="15" t="n"/>
      <c r="J515" s="15" t="n"/>
      <c r="K515" s="15" t="n"/>
    </row>
    <row r="516">
      <c r="A516" s="15" t="n"/>
      <c r="B516" s="15" t="n"/>
      <c r="C516" s="15" t="n"/>
      <c r="D516" s="15" t="n"/>
      <c r="E516" s="15" t="n"/>
      <c r="F516" s="15" t="n"/>
      <c r="G516" s="15" t="n"/>
      <c r="H516" s="15" t="n"/>
      <c r="I516" s="15" t="n"/>
      <c r="J516" s="15" t="n"/>
      <c r="K516" s="15" t="n"/>
    </row>
    <row r="517">
      <c r="A517" s="15" t="n"/>
      <c r="B517" s="15" t="n"/>
      <c r="C517" s="15" t="n"/>
      <c r="D517" s="15" t="n"/>
      <c r="E517" s="15" t="n"/>
      <c r="F517" s="15" t="n"/>
      <c r="G517" s="15" t="n"/>
      <c r="H517" s="15" t="n"/>
      <c r="I517" s="15" t="n"/>
      <c r="J517" s="15" t="n"/>
      <c r="K517" s="15" t="n"/>
    </row>
    <row r="518">
      <c r="A518" s="15" t="n"/>
      <c r="B518" s="15" t="n"/>
      <c r="C518" s="15" t="n"/>
      <c r="D518" s="15" t="n"/>
      <c r="E518" s="15" t="n"/>
      <c r="F518" s="15" t="n"/>
      <c r="G518" s="15" t="n"/>
      <c r="H518" s="15" t="n"/>
      <c r="I518" s="15" t="n"/>
      <c r="J518" s="15" t="n"/>
      <c r="K518" s="15" t="n"/>
    </row>
    <row r="519">
      <c r="A519" s="15" t="n"/>
      <c r="B519" s="15" t="n"/>
      <c r="C519" s="15" t="n"/>
      <c r="D519" s="15" t="n"/>
      <c r="E519" s="15" t="n"/>
      <c r="F519" s="15" t="n"/>
      <c r="G519" s="15" t="n"/>
      <c r="H519" s="15" t="n"/>
      <c r="I519" s="15" t="n"/>
      <c r="J519" s="15" t="n"/>
      <c r="K519" s="15" t="n"/>
    </row>
    <row r="520">
      <c r="A520" s="15" t="n"/>
      <c r="B520" s="15" t="n"/>
      <c r="C520" s="15" t="n"/>
      <c r="D520" s="15" t="n"/>
      <c r="E520" s="15" t="n"/>
      <c r="F520" s="15" t="n"/>
      <c r="G520" s="15" t="n"/>
      <c r="H520" s="15" t="n"/>
      <c r="I520" s="15" t="n"/>
      <c r="J520" s="15" t="n"/>
      <c r="K520" s="15" t="n"/>
    </row>
    <row r="521">
      <c r="A521" s="15" t="n"/>
      <c r="B521" s="15" t="n"/>
      <c r="C521" s="15" t="n"/>
      <c r="D521" s="15" t="n"/>
      <c r="E521" s="15" t="n"/>
      <c r="F521" s="15" t="n"/>
      <c r="G521" s="15" t="n"/>
      <c r="H521" s="15" t="n"/>
      <c r="I521" s="15" t="n"/>
      <c r="J521" s="15" t="n"/>
      <c r="K521" s="15" t="n"/>
    </row>
    <row r="522">
      <c r="A522" s="15" t="n"/>
      <c r="B522" s="15" t="n"/>
      <c r="C522" s="15" t="n"/>
      <c r="D522" s="15" t="n"/>
      <c r="E522" s="15" t="n"/>
      <c r="F522" s="15" t="n"/>
      <c r="G522" s="15" t="n"/>
      <c r="H522" s="15" t="n"/>
      <c r="I522" s="15" t="n"/>
      <c r="J522" s="15" t="n"/>
      <c r="K522" s="15" t="n"/>
    </row>
    <row r="523">
      <c r="A523" s="15" t="n"/>
      <c r="B523" s="15" t="n"/>
      <c r="C523" s="15" t="n"/>
      <c r="D523" s="15" t="n"/>
      <c r="E523" s="15" t="n"/>
      <c r="F523" s="15" t="n"/>
      <c r="G523" s="15" t="n"/>
      <c r="H523" s="15" t="n"/>
      <c r="I523" s="15" t="n"/>
      <c r="J523" s="15" t="n"/>
      <c r="K523" s="15" t="n"/>
    </row>
    <row r="524">
      <c r="A524" s="15" t="n"/>
      <c r="B524" s="15" t="n"/>
      <c r="C524" s="15" t="n"/>
      <c r="D524" s="15" t="n"/>
      <c r="E524" s="15" t="n"/>
      <c r="F524" s="15" t="n"/>
      <c r="G524" s="15" t="n"/>
      <c r="H524" s="15" t="n"/>
      <c r="I524" s="15" t="n"/>
      <c r="J524" s="15" t="n"/>
      <c r="K524" s="15" t="n"/>
    </row>
    <row r="525">
      <c r="A525" s="15" t="n"/>
      <c r="B525" s="15" t="n"/>
      <c r="C525" s="15" t="n"/>
      <c r="D525" s="15" t="n"/>
      <c r="E525" s="15" t="n"/>
      <c r="F525" s="15" t="n"/>
      <c r="G525" s="15" t="n"/>
      <c r="H525" s="15" t="n"/>
      <c r="I525" s="15" t="n"/>
      <c r="J525" s="15" t="n"/>
      <c r="K525" s="15" t="n"/>
    </row>
    <row r="526">
      <c r="A526" s="15" t="n"/>
      <c r="B526" s="15" t="n"/>
      <c r="C526" s="15" t="n"/>
      <c r="D526" s="15" t="n"/>
      <c r="E526" s="15" t="n"/>
      <c r="F526" s="15" t="n"/>
      <c r="G526" s="15" t="n"/>
      <c r="H526" s="15" t="n"/>
      <c r="I526" s="15" t="n"/>
      <c r="J526" s="15" t="n"/>
      <c r="K526" s="15" t="n"/>
    </row>
    <row r="527">
      <c r="A527" s="15" t="n"/>
      <c r="B527" s="15" t="n"/>
      <c r="C527" s="15" t="n"/>
      <c r="D527" s="15" t="n"/>
      <c r="E527" s="15" t="n"/>
      <c r="F527" s="15" t="n"/>
      <c r="G527" s="15" t="n"/>
      <c r="H527" s="15" t="n"/>
      <c r="I527" s="15" t="n"/>
      <c r="J527" s="15" t="n"/>
      <c r="K527" s="15" t="n"/>
    </row>
    <row r="528">
      <c r="A528" s="15" t="n"/>
      <c r="B528" s="15" t="n"/>
      <c r="C528" s="15" t="n"/>
      <c r="D528" s="15" t="n"/>
      <c r="E528" s="15" t="n"/>
      <c r="F528" s="15" t="n"/>
      <c r="G528" s="15" t="n"/>
      <c r="H528" s="15" t="n"/>
      <c r="I528" s="15" t="n"/>
      <c r="J528" s="15" t="n"/>
      <c r="K528" s="15" t="n"/>
    </row>
    <row r="529">
      <c r="A529" s="15" t="n"/>
      <c r="B529" s="15" t="n"/>
      <c r="C529" s="15" t="n"/>
      <c r="D529" s="15" t="n"/>
      <c r="E529" s="15" t="n"/>
      <c r="F529" s="15" t="n"/>
      <c r="G529" s="15" t="n"/>
      <c r="H529" s="15" t="n"/>
      <c r="I529" s="15" t="n"/>
      <c r="J529" s="15" t="n"/>
      <c r="K529" s="15" t="n"/>
    </row>
    <row r="530">
      <c r="A530" s="15" t="n"/>
      <c r="B530" s="15" t="n"/>
      <c r="C530" s="15" t="n"/>
      <c r="D530" s="15" t="n"/>
      <c r="E530" s="15" t="n"/>
      <c r="F530" s="15" t="n"/>
      <c r="G530" s="15" t="n"/>
      <c r="H530" s="15" t="n"/>
      <c r="I530" s="15" t="n"/>
      <c r="J530" s="15" t="n"/>
      <c r="K530" s="15" t="n"/>
    </row>
    <row r="531">
      <c r="A531" s="15" t="n"/>
      <c r="B531" s="15" t="n"/>
      <c r="C531" s="15" t="n"/>
      <c r="D531" s="15" t="n"/>
      <c r="E531" s="15" t="n"/>
      <c r="F531" s="15" t="n"/>
      <c r="G531" s="15" t="n"/>
      <c r="H531" s="15" t="n"/>
      <c r="I531" s="15" t="n"/>
      <c r="J531" s="15" t="n"/>
      <c r="K531" s="15" t="n"/>
    </row>
    <row r="532">
      <c r="A532" s="15" t="n"/>
      <c r="B532" s="15" t="n"/>
      <c r="C532" s="15" t="n"/>
      <c r="D532" s="15" t="n"/>
      <c r="E532" s="15" t="n"/>
      <c r="F532" s="15" t="n"/>
      <c r="G532" s="15" t="n"/>
      <c r="H532" s="15" t="n"/>
      <c r="I532" s="15" t="n"/>
      <c r="J532" s="15" t="n"/>
      <c r="K532" s="15" t="n"/>
    </row>
    <row r="533">
      <c r="A533" s="15" t="n"/>
      <c r="B533" s="15" t="n"/>
      <c r="C533" s="15" t="n"/>
      <c r="D533" s="15" t="n"/>
      <c r="E533" s="15" t="n"/>
      <c r="F533" s="15" t="n"/>
      <c r="G533" s="15" t="n"/>
      <c r="H533" s="15" t="n"/>
      <c r="I533" s="15" t="n"/>
      <c r="J533" s="15" t="n"/>
      <c r="K533" s="15" t="n"/>
    </row>
    <row r="534">
      <c r="A534" s="15" t="n"/>
      <c r="B534" s="15" t="n"/>
      <c r="C534" s="15" t="n"/>
      <c r="D534" s="15" t="n"/>
      <c r="E534" s="15" t="n"/>
      <c r="F534" s="15" t="n"/>
      <c r="G534" s="15" t="n"/>
      <c r="H534" s="15" t="n"/>
      <c r="I534" s="15" t="n"/>
      <c r="J534" s="15" t="n"/>
      <c r="K534" s="15" t="n"/>
    </row>
    <row r="535">
      <c r="A535" s="15" t="n"/>
      <c r="B535" s="15" t="n"/>
      <c r="C535" s="15" t="n"/>
      <c r="D535" s="15" t="n"/>
      <c r="E535" s="15" t="n"/>
      <c r="F535" s="15" t="n"/>
      <c r="G535" s="15" t="n"/>
      <c r="H535" s="15" t="n"/>
      <c r="I535" s="15" t="n"/>
      <c r="J535" s="15" t="n"/>
      <c r="K535" s="15" t="n"/>
    </row>
    <row r="536">
      <c r="A536" s="15" t="n"/>
      <c r="B536" s="15" t="n"/>
      <c r="C536" s="15" t="n"/>
      <c r="D536" s="15" t="n"/>
      <c r="E536" s="15" t="n"/>
      <c r="F536" s="15" t="n"/>
      <c r="G536" s="15" t="n"/>
      <c r="H536" s="15" t="n"/>
      <c r="I536" s="15" t="n"/>
      <c r="J536" s="15" t="n"/>
      <c r="K536" s="15" t="n"/>
    </row>
    <row r="537">
      <c r="A537" s="15" t="n"/>
      <c r="B537" s="15" t="n"/>
      <c r="C537" s="15" t="n"/>
      <c r="D537" s="15" t="n"/>
      <c r="E537" s="15" t="n"/>
      <c r="F537" s="15" t="n"/>
      <c r="G537" s="15" t="n"/>
      <c r="H537" s="15" t="n"/>
      <c r="I537" s="15" t="n"/>
      <c r="J537" s="15" t="n"/>
      <c r="K537" s="15" t="n"/>
    </row>
    <row r="538">
      <c r="A538" s="15" t="n"/>
      <c r="B538" s="15" t="n"/>
      <c r="C538" s="15" t="n"/>
      <c r="D538" s="15" t="n"/>
      <c r="E538" s="15" t="n"/>
      <c r="F538" s="15" t="n"/>
      <c r="G538" s="15" t="n"/>
      <c r="H538" s="15" t="n"/>
      <c r="I538" s="15" t="n"/>
      <c r="J538" s="15" t="n"/>
      <c r="K538" s="15" t="n"/>
    </row>
    <row r="539">
      <c r="A539" s="15" t="n"/>
      <c r="B539" s="15" t="n"/>
      <c r="C539" s="15" t="n"/>
      <c r="D539" s="15" t="n"/>
      <c r="E539" s="15" t="n"/>
      <c r="F539" s="15" t="n"/>
      <c r="G539" s="15" t="n"/>
      <c r="H539" s="15" t="n"/>
      <c r="I539" s="15" t="n"/>
      <c r="J539" s="15" t="n"/>
      <c r="K539" s="15" t="n"/>
    </row>
    <row r="540">
      <c r="A540" s="15" t="n"/>
      <c r="B540" s="15" t="n"/>
      <c r="C540" s="15" t="n"/>
      <c r="D540" s="15" t="n"/>
      <c r="E540" s="15" t="n"/>
      <c r="F540" s="15" t="n"/>
      <c r="G540" s="15" t="n"/>
      <c r="H540" s="15" t="n"/>
      <c r="I540" s="15" t="n"/>
      <c r="J540" s="15" t="n"/>
      <c r="K540" s="15" t="n"/>
    </row>
    <row r="541">
      <c r="A541" s="15" t="n"/>
      <c r="B541" s="15" t="n"/>
      <c r="C541" s="15" t="n"/>
      <c r="D541" s="15" t="n"/>
      <c r="E541" s="15" t="n"/>
      <c r="F541" s="15" t="n"/>
      <c r="G541" s="15" t="n"/>
      <c r="H541" s="15" t="n"/>
      <c r="I541" s="15" t="n"/>
      <c r="J541" s="15" t="n"/>
      <c r="K541" s="15" t="n"/>
    </row>
    <row r="542">
      <c r="A542" s="15" t="n"/>
      <c r="B542" s="15" t="n"/>
      <c r="C542" s="15" t="n"/>
      <c r="D542" s="15" t="n"/>
      <c r="E542" s="15" t="n"/>
      <c r="F542" s="15" t="n"/>
      <c r="G542" s="15" t="n"/>
      <c r="H542" s="15" t="n"/>
      <c r="I542" s="15" t="n"/>
      <c r="J542" s="15" t="n"/>
      <c r="K542" s="15" t="n"/>
    </row>
    <row r="543">
      <c r="A543" s="15" t="n"/>
      <c r="B543" s="15" t="n"/>
      <c r="C543" s="15" t="n"/>
      <c r="D543" s="15" t="n"/>
      <c r="E543" s="15" t="n"/>
      <c r="F543" s="15" t="n"/>
      <c r="G543" s="15" t="n"/>
      <c r="H543" s="15" t="n"/>
      <c r="I543" s="15" t="n"/>
      <c r="J543" s="15" t="n"/>
      <c r="K543" s="15" t="n"/>
    </row>
    <row r="544">
      <c r="A544" s="15" t="n"/>
      <c r="B544" s="15" t="n"/>
      <c r="C544" s="15" t="n"/>
      <c r="D544" s="15" t="n"/>
      <c r="E544" s="15" t="n"/>
      <c r="F544" s="15" t="n"/>
      <c r="G544" s="15" t="n"/>
      <c r="H544" s="15" t="n"/>
      <c r="I544" s="15" t="n"/>
      <c r="J544" s="15" t="n"/>
      <c r="K544" s="15" t="n"/>
    </row>
    <row r="545">
      <c r="A545" s="15" t="n"/>
      <c r="B545" s="15" t="n"/>
      <c r="C545" s="15" t="n"/>
      <c r="D545" s="15" t="n"/>
      <c r="E545" s="15" t="n"/>
      <c r="F545" s="15" t="n"/>
      <c r="G545" s="15" t="n"/>
      <c r="H545" s="15" t="n"/>
      <c r="I545" s="15" t="n"/>
      <c r="J545" s="15" t="n"/>
      <c r="K545" s="15" t="n"/>
    </row>
    <row r="546">
      <c r="A546" s="15" t="n"/>
      <c r="B546" s="15" t="n"/>
      <c r="C546" s="15" t="n"/>
      <c r="D546" s="15" t="n"/>
      <c r="E546" s="15" t="n"/>
      <c r="F546" s="15" t="n"/>
      <c r="G546" s="15" t="n"/>
      <c r="H546" s="15" t="n"/>
      <c r="I546" s="15" t="n"/>
      <c r="J546" s="15" t="n"/>
      <c r="K546" s="15" t="n"/>
    </row>
    <row r="547">
      <c r="A547" s="15" t="n"/>
      <c r="B547" s="15" t="n"/>
      <c r="C547" s="15" t="n"/>
      <c r="D547" s="15" t="n"/>
      <c r="E547" s="15" t="n"/>
      <c r="F547" s="15" t="n"/>
      <c r="G547" s="15" t="n"/>
      <c r="H547" s="15" t="n"/>
      <c r="I547" s="15" t="n"/>
      <c r="J547" s="15" t="n"/>
      <c r="K547" s="15" t="n"/>
    </row>
    <row r="548">
      <c r="A548" s="15" t="n"/>
      <c r="B548" s="15" t="n"/>
      <c r="C548" s="15" t="n"/>
      <c r="D548" s="15" t="n"/>
      <c r="E548" s="15" t="n"/>
      <c r="F548" s="15" t="n"/>
      <c r="G548" s="15" t="n"/>
      <c r="H548" s="15" t="n"/>
      <c r="I548" s="15" t="n"/>
      <c r="J548" s="15" t="n"/>
      <c r="K548" s="15" t="n"/>
    </row>
    <row r="549">
      <c r="A549" s="15" t="n"/>
      <c r="B549" s="15" t="n"/>
      <c r="C549" s="15" t="n"/>
      <c r="D549" s="15" t="n"/>
      <c r="E549" s="15" t="n"/>
      <c r="F549" s="15" t="n"/>
      <c r="G549" s="15" t="n"/>
      <c r="H549" s="15" t="n"/>
      <c r="I549" s="15" t="n"/>
      <c r="J549" s="15" t="n"/>
      <c r="K549" s="15" t="n"/>
    </row>
    <row r="550">
      <c r="A550" s="15" t="n"/>
      <c r="B550" s="15" t="n"/>
      <c r="C550" s="15" t="n"/>
      <c r="D550" s="15" t="n"/>
      <c r="E550" s="15" t="n"/>
      <c r="F550" s="15" t="n"/>
      <c r="G550" s="15" t="n"/>
      <c r="H550" s="15" t="n"/>
      <c r="I550" s="15" t="n"/>
      <c r="J550" s="15" t="n"/>
      <c r="K550" s="15" t="n"/>
    </row>
    <row r="551">
      <c r="A551" s="15" t="n"/>
      <c r="B551" s="15" t="n"/>
      <c r="C551" s="15" t="n"/>
      <c r="D551" s="15" t="n"/>
      <c r="E551" s="15" t="n"/>
      <c r="F551" s="15" t="n"/>
      <c r="G551" s="15" t="n"/>
      <c r="H551" s="15" t="n"/>
      <c r="I551" s="15" t="n"/>
      <c r="J551" s="15" t="n"/>
      <c r="K551" s="15" t="n"/>
    </row>
    <row r="552">
      <c r="A552" s="15" t="n"/>
      <c r="B552" s="15" t="n"/>
      <c r="C552" s="15" t="n"/>
      <c r="D552" s="15" t="n"/>
      <c r="E552" s="15" t="n"/>
      <c r="F552" s="15" t="n"/>
      <c r="G552" s="15" t="n"/>
      <c r="H552" s="15" t="n"/>
      <c r="I552" s="15" t="n"/>
      <c r="J552" s="15" t="n"/>
      <c r="K552" s="15" t="n"/>
    </row>
    <row r="553">
      <c r="A553" s="15" t="n"/>
      <c r="B553" s="15" t="n"/>
      <c r="C553" s="15" t="n"/>
      <c r="D553" s="15" t="n"/>
      <c r="E553" s="15" t="n"/>
      <c r="F553" s="15" t="n"/>
      <c r="G553" s="15" t="n"/>
      <c r="H553" s="15" t="n"/>
      <c r="I553" s="15" t="n"/>
      <c r="J553" s="15" t="n"/>
      <c r="K553" s="15" t="n"/>
    </row>
    <row r="554">
      <c r="A554" s="15" t="n"/>
      <c r="B554" s="15" t="n"/>
      <c r="C554" s="15" t="n"/>
      <c r="D554" s="15" t="n"/>
      <c r="E554" s="15" t="n"/>
      <c r="F554" s="15" t="n"/>
      <c r="G554" s="15" t="n"/>
      <c r="H554" s="15" t="n"/>
      <c r="I554" s="15" t="n"/>
      <c r="J554" s="15" t="n"/>
      <c r="K554" s="15" t="n"/>
    </row>
    <row r="555">
      <c r="A555" s="15" t="n"/>
      <c r="B555" s="15" t="n"/>
      <c r="C555" s="15" t="n"/>
      <c r="D555" s="15" t="n"/>
      <c r="E555" s="15" t="n"/>
      <c r="F555" s="15" t="n"/>
      <c r="G555" s="15" t="n"/>
      <c r="H555" s="15" t="n"/>
      <c r="I555" s="15" t="n"/>
      <c r="J555" s="15" t="n"/>
      <c r="K555" s="15" t="n"/>
    </row>
    <row r="556">
      <c r="A556" s="15" t="n"/>
      <c r="B556" s="15" t="n"/>
      <c r="C556" s="15" t="n"/>
      <c r="D556" s="15" t="n"/>
      <c r="E556" s="15" t="n"/>
      <c r="F556" s="15" t="n"/>
      <c r="G556" s="15" t="n"/>
      <c r="H556" s="15" t="n"/>
      <c r="I556" s="15" t="n"/>
      <c r="J556" s="15" t="n"/>
      <c r="K556" s="15" t="n"/>
    </row>
    <row r="557">
      <c r="A557" s="15" t="n"/>
      <c r="B557" s="15" t="n"/>
      <c r="C557" s="15" t="n"/>
      <c r="D557" s="15" t="n"/>
      <c r="E557" s="15" t="n"/>
      <c r="F557" s="15" t="n"/>
      <c r="G557" s="15" t="n"/>
      <c r="H557" s="15" t="n"/>
      <c r="I557" s="15" t="n"/>
      <c r="J557" s="15" t="n"/>
      <c r="K557" s="15" t="n"/>
    </row>
    <row r="558">
      <c r="A558" s="15" t="n"/>
      <c r="B558" s="15" t="n"/>
      <c r="C558" s="15" t="n"/>
      <c r="D558" s="15" t="n"/>
      <c r="E558" s="15" t="n"/>
      <c r="F558" s="15" t="n"/>
      <c r="G558" s="15" t="n"/>
      <c r="H558" s="15" t="n"/>
      <c r="I558" s="15" t="n"/>
      <c r="J558" s="15" t="n"/>
      <c r="K558" s="15" t="n"/>
    </row>
    <row r="559">
      <c r="A559" s="15" t="n"/>
      <c r="B559" s="15" t="n"/>
      <c r="C559" s="15" t="n"/>
      <c r="D559" s="15" t="n"/>
      <c r="E559" s="15" t="n"/>
      <c r="F559" s="15" t="n"/>
      <c r="G559" s="15" t="n"/>
      <c r="H559" s="15" t="n"/>
      <c r="I559" s="15" t="n"/>
      <c r="J559" s="15" t="n"/>
      <c r="K559" s="15" t="n"/>
    </row>
    <row r="560">
      <c r="A560" s="15" t="n"/>
      <c r="B560" s="15" t="n"/>
      <c r="C560" s="15" t="n"/>
      <c r="D560" s="15" t="n"/>
      <c r="E560" s="15" t="n"/>
      <c r="F560" s="15" t="n"/>
      <c r="G560" s="15" t="n"/>
      <c r="H560" s="15" t="n"/>
      <c r="I560" s="15" t="n"/>
      <c r="J560" s="15" t="n"/>
      <c r="K560" s="15" t="n"/>
    </row>
    <row r="561">
      <c r="A561" s="15" t="n"/>
      <c r="B561" s="15" t="n"/>
      <c r="C561" s="15" t="n"/>
      <c r="D561" s="15" t="n"/>
      <c r="E561" s="15" t="n"/>
      <c r="F561" s="15" t="n"/>
      <c r="G561" s="15" t="n"/>
      <c r="H561" s="15" t="n"/>
      <c r="I561" s="15" t="n"/>
      <c r="J561" s="15" t="n"/>
      <c r="K561" s="15" t="n"/>
    </row>
    <row r="562">
      <c r="A562" s="15" t="n"/>
      <c r="B562" s="15" t="n"/>
      <c r="C562" s="15" t="n"/>
      <c r="D562" s="15" t="n"/>
      <c r="E562" s="15" t="n"/>
      <c r="F562" s="15" t="n"/>
      <c r="G562" s="15" t="n"/>
      <c r="H562" s="15" t="n"/>
      <c r="I562" s="15" t="n"/>
      <c r="J562" s="15" t="n"/>
      <c r="K562" s="15" t="n"/>
    </row>
    <row r="563">
      <c r="A563" s="15" t="n"/>
      <c r="B563" s="15" t="n"/>
      <c r="C563" s="15" t="n"/>
      <c r="D563" s="15" t="n"/>
      <c r="E563" s="15" t="n"/>
      <c r="F563" s="15" t="n"/>
      <c r="G563" s="15" t="n"/>
      <c r="H563" s="15" t="n"/>
      <c r="I563" s="15" t="n"/>
      <c r="J563" s="15" t="n"/>
      <c r="K563" s="15" t="n"/>
    </row>
    <row r="564">
      <c r="A564" s="15" t="n"/>
      <c r="B564" s="15" t="n"/>
      <c r="C564" s="15" t="n"/>
      <c r="D564" s="15" t="n"/>
      <c r="E564" s="15" t="n"/>
      <c r="F564" s="15" t="n"/>
      <c r="G564" s="15" t="n"/>
      <c r="H564" s="15" t="n"/>
      <c r="I564" s="15" t="n"/>
      <c r="J564" s="15" t="n"/>
      <c r="K564" s="15" t="n"/>
    </row>
    <row r="565">
      <c r="A565" s="15" t="n"/>
      <c r="B565" s="15" t="n"/>
      <c r="C565" s="15" t="n"/>
      <c r="D565" s="15" t="n"/>
      <c r="E565" s="15" t="n"/>
      <c r="F565" s="15" t="n"/>
      <c r="G565" s="15" t="n"/>
      <c r="H565" s="15" t="n"/>
      <c r="I565" s="15" t="n"/>
      <c r="J565" s="15" t="n"/>
      <c r="K565" s="15" t="n"/>
    </row>
    <row r="566">
      <c r="A566" s="15" t="n"/>
      <c r="B566" s="15" t="n"/>
      <c r="C566" s="15" t="n"/>
      <c r="D566" s="15" t="n"/>
      <c r="E566" s="15" t="n"/>
      <c r="F566" s="15" t="n"/>
      <c r="G566" s="15" t="n"/>
      <c r="H566" s="15" t="n"/>
      <c r="I566" s="15" t="n"/>
      <c r="J566" s="15" t="n"/>
      <c r="K566" s="15" t="n"/>
    </row>
    <row r="567">
      <c r="A567" s="15" t="n"/>
      <c r="B567" s="15" t="n"/>
      <c r="C567" s="15" t="n"/>
      <c r="D567" s="15" t="n"/>
      <c r="E567" s="15" t="n"/>
      <c r="F567" s="15" t="n"/>
      <c r="G567" s="15" t="n"/>
      <c r="H567" s="15" t="n"/>
      <c r="I567" s="15" t="n"/>
      <c r="J567" s="15" t="n"/>
      <c r="K567" s="15" t="n"/>
    </row>
    <row r="568">
      <c r="A568" s="15" t="n"/>
      <c r="B568" s="15" t="n"/>
      <c r="C568" s="15" t="n"/>
      <c r="D568" s="15" t="n"/>
      <c r="E568" s="15" t="n"/>
      <c r="F568" s="15" t="n"/>
      <c r="G568" s="15" t="n"/>
      <c r="H568" s="15" t="n"/>
      <c r="I568" s="15" t="n"/>
      <c r="J568" s="15" t="n"/>
      <c r="K568" s="15" t="n"/>
    </row>
    <row r="569">
      <c r="A569" s="15" t="n"/>
      <c r="B569" s="15" t="n"/>
      <c r="C569" s="15" t="n"/>
      <c r="D569" s="15" t="n"/>
      <c r="E569" s="15" t="n"/>
      <c r="F569" s="15" t="n"/>
      <c r="G569" s="15" t="n"/>
      <c r="H569" s="15" t="n"/>
      <c r="I569" s="15" t="n"/>
      <c r="J569" s="15" t="n"/>
      <c r="K569" s="15" t="n"/>
    </row>
    <row r="570">
      <c r="A570" s="15" t="n"/>
      <c r="B570" s="15" t="n"/>
      <c r="C570" s="15" t="n"/>
      <c r="D570" s="15" t="n"/>
      <c r="E570" s="15" t="n"/>
      <c r="F570" s="15" t="n"/>
      <c r="G570" s="15" t="n"/>
      <c r="H570" s="15" t="n"/>
      <c r="I570" s="15" t="n"/>
      <c r="J570" s="15" t="n"/>
      <c r="K570" s="15" t="n"/>
    </row>
    <row r="571">
      <c r="A571" s="15" t="n"/>
      <c r="B571" s="15" t="n"/>
      <c r="C571" s="15" t="n"/>
      <c r="D571" s="15" t="n"/>
      <c r="E571" s="15" t="n"/>
      <c r="F571" s="15" t="n"/>
      <c r="G571" s="15" t="n"/>
      <c r="H571" s="15" t="n"/>
      <c r="I571" s="15" t="n"/>
      <c r="J571" s="15" t="n"/>
      <c r="K571" s="15" t="n"/>
    </row>
    <row r="572">
      <c r="A572" s="15" t="n"/>
      <c r="B572" s="15" t="n"/>
      <c r="C572" s="15" t="n"/>
      <c r="D572" s="15" t="n"/>
      <c r="E572" s="15" t="n"/>
      <c r="F572" s="15" t="n"/>
      <c r="G572" s="15" t="n"/>
      <c r="H572" s="15" t="n"/>
      <c r="I572" s="15" t="n"/>
      <c r="J572" s="15" t="n"/>
      <c r="K572" s="15" t="n"/>
    </row>
    <row r="573">
      <c r="A573" s="15" t="n"/>
      <c r="B573" s="15" t="n"/>
      <c r="C573" s="15" t="n"/>
      <c r="D573" s="15" t="n"/>
      <c r="E573" s="15" t="n"/>
      <c r="F573" s="15" t="n"/>
      <c r="G573" s="15" t="n"/>
      <c r="H573" s="15" t="n"/>
      <c r="I573" s="15" t="n"/>
      <c r="J573" s="15" t="n"/>
      <c r="K573" s="15" t="n"/>
    </row>
    <row r="574">
      <c r="A574" s="15" t="n"/>
      <c r="B574" s="15" t="n"/>
      <c r="C574" s="15" t="n"/>
      <c r="D574" s="15" t="n"/>
      <c r="E574" s="15" t="n"/>
      <c r="F574" s="15" t="n"/>
      <c r="G574" s="15" t="n"/>
      <c r="H574" s="15" t="n"/>
      <c r="I574" s="15" t="n"/>
      <c r="J574" s="15" t="n"/>
      <c r="K574" s="15" t="n"/>
    </row>
    <row r="575">
      <c r="A575" s="15" t="n"/>
      <c r="B575" s="15" t="n"/>
      <c r="C575" s="15" t="n"/>
      <c r="D575" s="15" t="n"/>
      <c r="E575" s="15" t="n"/>
      <c r="F575" s="15" t="n"/>
      <c r="G575" s="15" t="n"/>
      <c r="H575" s="15" t="n"/>
      <c r="I575" s="15" t="n"/>
      <c r="J575" s="15" t="n"/>
      <c r="K575" s="15" t="n"/>
    </row>
    <row r="576">
      <c r="A576" s="15" t="n"/>
      <c r="B576" s="15" t="n"/>
      <c r="C576" s="15" t="n"/>
      <c r="D576" s="15" t="n"/>
      <c r="E576" s="15" t="n"/>
      <c r="F576" s="15" t="n"/>
      <c r="G576" s="15" t="n"/>
      <c r="H576" s="15" t="n"/>
      <c r="I576" s="15" t="n"/>
      <c r="J576" s="15" t="n"/>
      <c r="K576" s="15" t="n"/>
    </row>
    <row r="577">
      <c r="A577" s="15" t="n"/>
      <c r="B577" s="15" t="n"/>
      <c r="C577" s="15" t="n"/>
      <c r="D577" s="15" t="n"/>
      <c r="E577" s="15" t="n"/>
      <c r="F577" s="15" t="n"/>
      <c r="G577" s="15" t="n"/>
      <c r="H577" s="15" t="n"/>
      <c r="I577" s="15" t="n"/>
      <c r="J577" s="15" t="n"/>
      <c r="K577" s="15" t="n"/>
    </row>
    <row r="578">
      <c r="A578" s="15" t="n"/>
      <c r="B578" s="15" t="n"/>
      <c r="C578" s="15" t="n"/>
      <c r="D578" s="15" t="n"/>
      <c r="E578" s="15" t="n"/>
      <c r="F578" s="15" t="n"/>
      <c r="G578" s="15" t="n"/>
      <c r="H578" s="15" t="n"/>
      <c r="I578" s="15" t="n"/>
      <c r="J578" s="15" t="n"/>
      <c r="K578" s="15" t="n"/>
    </row>
    <row r="579">
      <c r="A579" s="15" t="n"/>
      <c r="B579" s="15" t="n"/>
      <c r="C579" s="15" t="n"/>
      <c r="D579" s="15" t="n"/>
      <c r="E579" s="15" t="n"/>
      <c r="F579" s="15" t="n"/>
      <c r="G579" s="15" t="n"/>
      <c r="H579" s="15" t="n"/>
      <c r="I579" s="15" t="n"/>
      <c r="J579" s="15" t="n"/>
      <c r="K579" s="15" t="n"/>
    </row>
    <row r="580">
      <c r="A580" s="15" t="n"/>
      <c r="B580" s="15" t="n"/>
      <c r="C580" s="15" t="n"/>
      <c r="D580" s="15" t="n"/>
      <c r="E580" s="15" t="n"/>
      <c r="F580" s="15" t="n"/>
      <c r="G580" s="15" t="n"/>
      <c r="H580" s="15" t="n"/>
      <c r="I580" s="15" t="n"/>
      <c r="J580" s="15" t="n"/>
      <c r="K580" s="15" t="n"/>
    </row>
    <row r="581">
      <c r="A581" s="15" t="n"/>
      <c r="B581" s="15" t="n"/>
      <c r="C581" s="15" t="n"/>
      <c r="D581" s="15" t="n"/>
      <c r="E581" s="15" t="n"/>
      <c r="F581" s="15" t="n"/>
      <c r="G581" s="15" t="n"/>
      <c r="H581" s="15" t="n"/>
      <c r="I581" s="15" t="n"/>
      <c r="J581" s="15" t="n"/>
      <c r="K581" s="15" t="n"/>
    </row>
    <row r="582">
      <c r="A582" s="15" t="n"/>
      <c r="B582" s="15" t="n"/>
      <c r="C582" s="15" t="n"/>
      <c r="D582" s="15" t="n"/>
      <c r="E582" s="15" t="n"/>
      <c r="F582" s="15" t="n"/>
      <c r="G582" s="15" t="n"/>
      <c r="H582" s="15" t="n"/>
      <c r="I582" s="15" t="n"/>
      <c r="J582" s="15" t="n"/>
      <c r="K582" s="15" t="n"/>
    </row>
    <row r="583">
      <c r="A583" s="15" t="n"/>
      <c r="B583" s="15" t="n"/>
      <c r="C583" s="15" t="n"/>
      <c r="D583" s="15" t="n"/>
      <c r="E583" s="15" t="n"/>
      <c r="F583" s="15" t="n"/>
      <c r="G583" s="15" t="n"/>
      <c r="H583" s="15" t="n"/>
      <c r="I583" s="15" t="n"/>
      <c r="J583" s="15" t="n"/>
      <c r="K583" s="15" t="n"/>
    </row>
    <row r="584">
      <c r="A584" s="15" t="n"/>
      <c r="B584" s="15" t="n"/>
      <c r="C584" s="15" t="n"/>
      <c r="D584" s="15" t="n"/>
      <c r="E584" s="15" t="n"/>
      <c r="F584" s="15" t="n"/>
      <c r="G584" s="15" t="n"/>
      <c r="H584" s="15" t="n"/>
      <c r="I584" s="15" t="n"/>
      <c r="J584" s="15" t="n"/>
      <c r="K584" s="15" t="n"/>
    </row>
    <row r="585">
      <c r="A585" s="15" t="n"/>
      <c r="B585" s="15" t="n"/>
      <c r="C585" s="15" t="n"/>
      <c r="D585" s="15" t="n"/>
      <c r="E585" s="15" t="n"/>
      <c r="F585" s="15" t="n"/>
      <c r="G585" s="15" t="n"/>
      <c r="H585" s="15" t="n"/>
      <c r="I585" s="15" t="n"/>
      <c r="J585" s="15" t="n"/>
      <c r="K585" s="15" t="n"/>
    </row>
    <row r="586">
      <c r="A586" s="15" t="n"/>
      <c r="B586" s="15" t="n"/>
      <c r="C586" s="15" t="n"/>
      <c r="D586" s="15" t="n"/>
      <c r="E586" s="15" t="n"/>
      <c r="F586" s="15" t="n"/>
      <c r="G586" s="15" t="n"/>
      <c r="H586" s="15" t="n"/>
      <c r="I586" s="15" t="n"/>
      <c r="J586" s="15" t="n"/>
      <c r="K586" s="15" t="n"/>
    </row>
    <row r="587">
      <c r="A587" s="15" t="n"/>
      <c r="B587" s="15" t="n"/>
      <c r="C587" s="15" t="n"/>
      <c r="D587" s="15" t="n"/>
      <c r="E587" s="15" t="n"/>
      <c r="F587" s="15" t="n"/>
      <c r="G587" s="15" t="n"/>
      <c r="H587" s="15" t="n"/>
      <c r="I587" s="15" t="n"/>
      <c r="J587" s="15" t="n"/>
      <c r="K587" s="15" t="n"/>
    </row>
    <row r="588">
      <c r="A588" s="15" t="n"/>
      <c r="B588" s="15" t="n"/>
      <c r="C588" s="15" t="n"/>
      <c r="D588" s="15" t="n"/>
      <c r="E588" s="15" t="n"/>
      <c r="F588" s="15" t="n"/>
      <c r="G588" s="15" t="n"/>
      <c r="H588" s="15" t="n"/>
      <c r="I588" s="15" t="n"/>
      <c r="J588" s="15" t="n"/>
      <c r="K588" s="15" t="n"/>
    </row>
    <row r="589">
      <c r="A589" s="15" t="n"/>
      <c r="B589" s="15" t="n"/>
      <c r="C589" s="15" t="n"/>
      <c r="D589" s="15" t="n"/>
      <c r="E589" s="15" t="n"/>
      <c r="F589" s="15" t="n"/>
      <c r="G589" s="15" t="n"/>
      <c r="H589" s="15" t="n"/>
      <c r="I589" s="15" t="n"/>
      <c r="J589" s="15" t="n"/>
      <c r="K589" s="15" t="n"/>
    </row>
    <row r="590">
      <c r="A590" s="15" t="n"/>
      <c r="B590" s="15" t="n"/>
      <c r="C590" s="15" t="n"/>
      <c r="D590" s="15" t="n"/>
      <c r="E590" s="15" t="n"/>
      <c r="F590" s="15" t="n"/>
      <c r="G590" s="15" t="n"/>
      <c r="H590" s="15" t="n"/>
      <c r="I590" s="15" t="n"/>
      <c r="J590" s="15" t="n"/>
      <c r="K590" s="15" t="n"/>
    </row>
    <row r="591">
      <c r="A591" s="15" t="n"/>
      <c r="B591" s="15" t="n"/>
      <c r="C591" s="15" t="n"/>
      <c r="D591" s="15" t="n"/>
      <c r="E591" s="15" t="n"/>
      <c r="F591" s="15" t="n"/>
      <c r="G591" s="15" t="n"/>
      <c r="H591" s="15" t="n"/>
      <c r="I591" s="15" t="n"/>
      <c r="J591" s="15" t="n"/>
      <c r="K591" s="15" t="n"/>
    </row>
    <row r="592">
      <c r="A592" s="15" t="n"/>
      <c r="B592" s="15" t="n"/>
      <c r="C592" s="15" t="n"/>
      <c r="D592" s="15" t="n"/>
      <c r="E592" s="15" t="n"/>
      <c r="F592" s="15" t="n"/>
      <c r="G592" s="15" t="n"/>
      <c r="H592" s="15" t="n"/>
      <c r="I592" s="15" t="n"/>
      <c r="J592" s="15" t="n"/>
      <c r="K592" s="15" t="n"/>
    </row>
    <row r="593">
      <c r="A593" s="15" t="n"/>
      <c r="B593" s="15" t="n"/>
      <c r="C593" s="15" t="n"/>
      <c r="D593" s="15" t="n"/>
      <c r="E593" s="15" t="n"/>
      <c r="F593" s="15" t="n"/>
      <c r="G593" s="15" t="n"/>
      <c r="H593" s="15" t="n"/>
      <c r="I593" s="15" t="n"/>
      <c r="J593" s="15" t="n"/>
      <c r="K593" s="15" t="n"/>
    </row>
    <row r="594">
      <c r="A594" s="15" t="n"/>
      <c r="B594" s="15" t="n"/>
      <c r="C594" s="15" t="n"/>
      <c r="D594" s="15" t="n"/>
      <c r="E594" s="15" t="n"/>
      <c r="F594" s="15" t="n"/>
      <c r="G594" s="15" t="n"/>
      <c r="H594" s="15" t="n"/>
      <c r="I594" s="15" t="n"/>
      <c r="J594" s="15" t="n"/>
      <c r="K594" s="15" t="n"/>
    </row>
    <row r="595">
      <c r="A595" s="15" t="n"/>
      <c r="B595" s="15" t="n"/>
      <c r="C595" s="15" t="n"/>
      <c r="D595" s="15" t="n"/>
      <c r="E595" s="15" t="n"/>
      <c r="F595" s="15" t="n"/>
      <c r="G595" s="15" t="n"/>
      <c r="H595" s="15" t="n"/>
      <c r="I595" s="15" t="n"/>
      <c r="J595" s="15" t="n"/>
      <c r="K595" s="15" t="n"/>
    </row>
    <row r="596">
      <c r="A596" s="15" t="n"/>
      <c r="B596" s="15" t="n"/>
      <c r="C596" s="15" t="n"/>
      <c r="D596" s="15" t="n"/>
      <c r="E596" s="15" t="n"/>
      <c r="F596" s="15" t="n"/>
      <c r="G596" s="15" t="n"/>
      <c r="H596" s="15" t="n"/>
      <c r="I596" s="15" t="n"/>
      <c r="J596" s="15" t="n"/>
      <c r="K596" s="15" t="n"/>
    </row>
    <row r="597">
      <c r="A597" s="15" t="n"/>
      <c r="B597" s="15" t="n"/>
      <c r="C597" s="15" t="n"/>
      <c r="D597" s="15" t="n"/>
      <c r="E597" s="15" t="n"/>
      <c r="F597" s="15" t="n"/>
      <c r="G597" s="15" t="n"/>
      <c r="H597" s="15" t="n"/>
      <c r="I597" s="15" t="n"/>
      <c r="J597" s="15" t="n"/>
      <c r="K597" s="15" t="n"/>
    </row>
    <row r="598">
      <c r="A598" s="15" t="n"/>
      <c r="B598" s="15" t="n"/>
      <c r="C598" s="15" t="n"/>
      <c r="D598" s="15" t="n"/>
      <c r="E598" s="15" t="n"/>
      <c r="F598" s="15" t="n"/>
      <c r="G598" s="15" t="n"/>
      <c r="H598" s="15" t="n"/>
      <c r="I598" s="15" t="n"/>
      <c r="J598" s="15" t="n"/>
      <c r="K598" s="15" t="n"/>
    </row>
    <row r="599">
      <c r="A599" s="15" t="n"/>
      <c r="B599" s="15" t="n"/>
      <c r="C599" s="15" t="n"/>
      <c r="D599" s="15" t="n"/>
      <c r="E599" s="15" t="n"/>
      <c r="F599" s="15" t="n"/>
      <c r="G599" s="15" t="n"/>
      <c r="H599" s="15" t="n"/>
      <c r="I599" s="15" t="n"/>
      <c r="J599" s="15" t="n"/>
      <c r="K599" s="15" t="n"/>
    </row>
    <row r="600">
      <c r="A600" s="15" t="n"/>
      <c r="B600" s="15" t="n"/>
      <c r="C600" s="15" t="n"/>
      <c r="D600" s="15" t="n"/>
      <c r="E600" s="15" t="n"/>
      <c r="F600" s="15" t="n"/>
      <c r="G600" s="15" t="n"/>
      <c r="H600" s="15" t="n"/>
      <c r="I600" s="15" t="n"/>
      <c r="J600" s="15" t="n"/>
      <c r="K600" s="15" t="n"/>
    </row>
    <row r="601">
      <c r="A601" s="15" t="n"/>
      <c r="B601" s="15" t="n"/>
      <c r="C601" s="15" t="n"/>
      <c r="D601" s="15" t="n"/>
      <c r="E601" s="15" t="n"/>
      <c r="F601" s="15" t="n"/>
      <c r="G601" s="15" t="n"/>
      <c r="H601" s="15" t="n"/>
      <c r="I601" s="15" t="n"/>
      <c r="J601" s="15" t="n"/>
      <c r="K601" s="15" t="n"/>
    </row>
    <row r="602">
      <c r="A602" s="15" t="n"/>
      <c r="B602" s="15" t="n"/>
      <c r="C602" s="15" t="n"/>
      <c r="D602" s="15" t="n"/>
      <c r="E602" s="15" t="n"/>
      <c r="F602" s="15" t="n"/>
      <c r="G602" s="15" t="n"/>
      <c r="H602" s="15" t="n"/>
      <c r="I602" s="15" t="n"/>
      <c r="J602" s="15" t="n"/>
      <c r="K602" s="15" t="n"/>
    </row>
    <row r="603">
      <c r="A603" s="15" t="n"/>
      <c r="B603" s="15" t="n"/>
      <c r="C603" s="15" t="n"/>
      <c r="D603" s="15" t="n"/>
      <c r="E603" s="15" t="n"/>
      <c r="F603" s="15" t="n"/>
      <c r="G603" s="15" t="n"/>
      <c r="H603" s="15" t="n"/>
      <c r="I603" s="15" t="n"/>
      <c r="J603" s="15" t="n"/>
      <c r="K603" s="15" t="n"/>
    </row>
    <row r="604">
      <c r="A604" s="15" t="n"/>
      <c r="B604" s="15" t="n"/>
      <c r="C604" s="15" t="n"/>
      <c r="D604" s="15" t="n"/>
      <c r="E604" s="15" t="n"/>
      <c r="F604" s="15" t="n"/>
      <c r="G604" s="15" t="n"/>
      <c r="H604" s="15" t="n"/>
      <c r="I604" s="15" t="n"/>
      <c r="J604" s="15" t="n"/>
      <c r="K604" s="15" t="n"/>
    </row>
    <row r="605">
      <c r="A605" s="15" t="n"/>
      <c r="B605" s="15" t="n"/>
      <c r="C605" s="15" t="n"/>
      <c r="D605" s="15" t="n"/>
      <c r="E605" s="15" t="n"/>
      <c r="F605" s="15" t="n"/>
      <c r="G605" s="15" t="n"/>
      <c r="H605" s="15" t="n"/>
      <c r="I605" s="15" t="n"/>
      <c r="J605" s="15" t="n"/>
      <c r="K605" s="15" t="n"/>
    </row>
    <row r="606">
      <c r="A606" s="15" t="n"/>
      <c r="B606" s="15" t="n"/>
      <c r="C606" s="15" t="n"/>
      <c r="D606" s="15" t="n"/>
      <c r="E606" s="15" t="n"/>
      <c r="F606" s="15" t="n"/>
      <c r="G606" s="15" t="n"/>
      <c r="H606" s="15" t="n"/>
      <c r="I606" s="15" t="n"/>
      <c r="J606" s="15" t="n"/>
      <c r="K606" s="15" t="n"/>
    </row>
    <row r="607">
      <c r="A607" s="15" t="n"/>
      <c r="B607" s="15" t="n"/>
      <c r="C607" s="15" t="n"/>
      <c r="D607" s="15" t="n"/>
      <c r="E607" s="15" t="n"/>
      <c r="F607" s="15" t="n"/>
      <c r="G607" s="15" t="n"/>
      <c r="H607" s="15" t="n"/>
      <c r="I607" s="15" t="n"/>
      <c r="J607" s="15" t="n"/>
      <c r="K607" s="15" t="n"/>
    </row>
    <row r="608">
      <c r="A608" s="15" t="n"/>
      <c r="B608" s="15" t="n"/>
      <c r="C608" s="15" t="n"/>
      <c r="D608" s="15" t="n"/>
      <c r="E608" s="15" t="n"/>
      <c r="F608" s="15" t="n"/>
      <c r="G608" s="15" t="n"/>
      <c r="H608" s="15" t="n"/>
      <c r="I608" s="15" t="n"/>
      <c r="J608" s="15" t="n"/>
      <c r="K608" s="15" t="n"/>
    </row>
    <row r="609">
      <c r="A609" s="15" t="n"/>
      <c r="B609" s="15" t="n"/>
      <c r="C609" s="15" t="n"/>
      <c r="D609" s="15" t="n"/>
      <c r="E609" s="15" t="n"/>
      <c r="F609" s="15" t="n"/>
      <c r="G609" s="15" t="n"/>
      <c r="H609" s="15" t="n"/>
      <c r="I609" s="15" t="n"/>
      <c r="J609" s="15" t="n"/>
      <c r="K609" s="15" t="n"/>
    </row>
    <row r="610">
      <c r="A610" s="15" t="n"/>
      <c r="B610" s="15" t="n"/>
      <c r="C610" s="15" t="n"/>
      <c r="D610" s="15" t="n"/>
      <c r="E610" s="15" t="n"/>
      <c r="F610" s="15" t="n"/>
      <c r="G610" s="15" t="n"/>
      <c r="H610" s="15" t="n"/>
      <c r="I610" s="15" t="n"/>
      <c r="J610" s="15" t="n"/>
      <c r="K610" s="15" t="n"/>
    </row>
    <row r="611">
      <c r="A611" s="15" t="n"/>
      <c r="B611" s="15" t="n"/>
      <c r="C611" s="15" t="n"/>
      <c r="D611" s="15" t="n"/>
      <c r="E611" s="15" t="n"/>
      <c r="F611" s="15" t="n"/>
      <c r="G611" s="15" t="n"/>
      <c r="H611" s="15" t="n"/>
      <c r="I611" s="15" t="n"/>
      <c r="J611" s="15" t="n"/>
      <c r="K611" s="15" t="n"/>
    </row>
    <row r="612">
      <c r="A612" s="15" t="n"/>
      <c r="B612" s="15" t="n"/>
      <c r="C612" s="15" t="n"/>
      <c r="D612" s="15" t="n"/>
      <c r="E612" s="15" t="n"/>
      <c r="F612" s="15" t="n"/>
      <c r="G612" s="15" t="n"/>
      <c r="H612" s="15" t="n"/>
      <c r="I612" s="15" t="n"/>
      <c r="J612" s="15" t="n"/>
      <c r="K612" s="15" t="n"/>
    </row>
    <row r="613">
      <c r="A613" s="15" t="n"/>
      <c r="B613" s="15" t="n"/>
      <c r="C613" s="15" t="n"/>
      <c r="D613" s="15" t="n"/>
      <c r="E613" s="15" t="n"/>
      <c r="F613" s="15" t="n"/>
      <c r="G613" s="15" t="n"/>
      <c r="H613" s="15" t="n"/>
      <c r="I613" s="15" t="n"/>
      <c r="J613" s="15" t="n"/>
      <c r="K613" s="15" t="n"/>
    </row>
    <row r="614">
      <c r="A614" s="15" t="n"/>
      <c r="B614" s="15" t="n"/>
      <c r="C614" s="15" t="n"/>
      <c r="D614" s="15" t="n"/>
      <c r="E614" s="15" t="n"/>
      <c r="F614" s="15" t="n"/>
      <c r="G614" s="15" t="n"/>
      <c r="H614" s="15" t="n"/>
      <c r="I614" s="15" t="n"/>
      <c r="J614" s="15" t="n"/>
      <c r="K614" s="15" t="n"/>
    </row>
    <row r="615">
      <c r="A615" s="15" t="n"/>
      <c r="B615" s="15" t="n"/>
      <c r="C615" s="15" t="n"/>
      <c r="D615" s="15" t="n"/>
      <c r="E615" s="15" t="n"/>
      <c r="F615" s="15" t="n"/>
      <c r="G615" s="15" t="n"/>
      <c r="H615" s="15" t="n"/>
      <c r="I615" s="15" t="n"/>
      <c r="J615" s="15" t="n"/>
      <c r="K615" s="15" t="n"/>
    </row>
    <row r="616">
      <c r="A616" s="15" t="n"/>
      <c r="B616" s="15" t="n"/>
      <c r="C616" s="15" t="n"/>
      <c r="D616" s="15" t="n"/>
      <c r="E616" s="15" t="n"/>
      <c r="F616" s="15" t="n"/>
      <c r="G616" s="15" t="n"/>
      <c r="H616" s="15" t="n"/>
      <c r="I616" s="15" t="n"/>
      <c r="J616" s="15" t="n"/>
      <c r="K616" s="15" t="n"/>
    </row>
    <row r="617">
      <c r="A617" s="15" t="n"/>
      <c r="B617" s="15" t="n"/>
      <c r="C617" s="15" t="n"/>
      <c r="D617" s="15" t="n"/>
      <c r="E617" s="15" t="n"/>
      <c r="F617" s="15" t="n"/>
      <c r="G617" s="15" t="n"/>
      <c r="H617" s="15" t="n"/>
      <c r="I617" s="15" t="n"/>
      <c r="J617" s="15" t="n"/>
      <c r="K617" s="15" t="n"/>
    </row>
    <row r="618">
      <c r="A618" s="15" t="n"/>
      <c r="B618" s="15" t="n"/>
      <c r="C618" s="15" t="n"/>
      <c r="D618" s="15" t="n"/>
      <c r="E618" s="15" t="n"/>
      <c r="F618" s="15" t="n"/>
      <c r="G618" s="15" t="n"/>
      <c r="H618" s="15" t="n"/>
      <c r="I618" s="15" t="n"/>
      <c r="J618" s="15" t="n"/>
      <c r="K618" s="15" t="n"/>
    </row>
    <row r="619">
      <c r="A619" s="15" t="n"/>
      <c r="B619" s="15" t="n"/>
      <c r="C619" s="15" t="n"/>
      <c r="D619" s="15" t="n"/>
      <c r="E619" s="15" t="n"/>
      <c r="F619" s="15" t="n"/>
      <c r="G619" s="15" t="n"/>
      <c r="H619" s="15" t="n"/>
      <c r="I619" s="15" t="n"/>
      <c r="J619" s="15" t="n"/>
      <c r="K619" s="15" t="n"/>
    </row>
    <row r="620">
      <c r="A620" s="15" t="n"/>
      <c r="B620" s="15" t="n"/>
      <c r="C620" s="15" t="n"/>
      <c r="D620" s="15" t="n"/>
      <c r="E620" s="15" t="n"/>
      <c r="F620" s="15" t="n"/>
      <c r="G620" s="15" t="n"/>
      <c r="H620" s="15" t="n"/>
      <c r="I620" s="15" t="n"/>
      <c r="J620" s="15" t="n"/>
      <c r="K620" s="15" t="n"/>
    </row>
    <row r="621">
      <c r="A621" s="15" t="n"/>
      <c r="B621" s="15" t="n"/>
      <c r="C621" s="15" t="n"/>
      <c r="D621" s="15" t="n"/>
      <c r="E621" s="15" t="n"/>
      <c r="F621" s="15" t="n"/>
      <c r="G621" s="15" t="n"/>
      <c r="H621" s="15" t="n"/>
      <c r="I621" s="15" t="n"/>
      <c r="J621" s="15" t="n"/>
      <c r="K621" s="15" t="n"/>
    </row>
    <row r="622">
      <c r="A622" s="15" t="n"/>
      <c r="B622" s="15" t="n"/>
      <c r="C622" s="15" t="n"/>
      <c r="D622" s="15" t="n"/>
      <c r="E622" s="15" t="n"/>
      <c r="F622" s="15" t="n"/>
      <c r="G622" s="15" t="n"/>
      <c r="H622" s="15" t="n"/>
      <c r="I622" s="15" t="n"/>
      <c r="J622" s="15" t="n"/>
      <c r="K622" s="15" t="n"/>
    </row>
    <row r="623">
      <c r="A623" s="15" t="n"/>
      <c r="B623" s="15" t="n"/>
      <c r="C623" s="15" t="n"/>
      <c r="D623" s="15" t="n"/>
      <c r="E623" s="15" t="n"/>
      <c r="F623" s="15" t="n"/>
      <c r="G623" s="15" t="n"/>
      <c r="H623" s="15" t="n"/>
      <c r="I623" s="15" t="n"/>
      <c r="J623" s="15" t="n"/>
      <c r="K623" s="15" t="n"/>
    </row>
    <row r="624">
      <c r="A624" s="15" t="n"/>
      <c r="B624" s="15" t="n"/>
      <c r="C624" s="15" t="n"/>
      <c r="D624" s="15" t="n"/>
      <c r="E624" s="15" t="n"/>
      <c r="F624" s="15" t="n"/>
      <c r="G624" s="15" t="n"/>
      <c r="H624" s="15" t="n"/>
      <c r="I624" s="15" t="n"/>
      <c r="J624" s="15" t="n"/>
      <c r="K624" s="15" t="n"/>
    </row>
    <row r="625">
      <c r="A625" s="15" t="n"/>
      <c r="B625" s="15" t="n"/>
      <c r="C625" s="15" t="n"/>
      <c r="D625" s="15" t="n"/>
      <c r="E625" s="15" t="n"/>
      <c r="F625" s="15" t="n"/>
      <c r="G625" s="15" t="n"/>
      <c r="H625" s="15" t="n"/>
      <c r="I625" s="15" t="n"/>
      <c r="J625" s="15" t="n"/>
      <c r="K625" s="15" t="n"/>
    </row>
    <row r="626">
      <c r="A626" s="15" t="n"/>
      <c r="B626" s="15" t="n"/>
      <c r="C626" s="15" t="n"/>
      <c r="D626" s="15" t="n"/>
      <c r="E626" s="15" t="n"/>
      <c r="F626" s="15" t="n"/>
      <c r="G626" s="15" t="n"/>
      <c r="H626" s="15" t="n"/>
      <c r="I626" s="15" t="n"/>
      <c r="J626" s="15" t="n"/>
      <c r="K626" s="15" t="n"/>
    </row>
    <row r="627">
      <c r="A627" s="15" t="n"/>
      <c r="B627" s="15" t="n"/>
      <c r="C627" s="15" t="n"/>
      <c r="D627" s="15" t="n"/>
      <c r="E627" s="15" t="n"/>
      <c r="F627" s="15" t="n"/>
      <c r="G627" s="15" t="n"/>
      <c r="H627" s="15" t="n"/>
      <c r="I627" s="15" t="n"/>
      <c r="J627" s="15" t="n"/>
      <c r="K627" s="15" t="n"/>
    </row>
    <row r="628">
      <c r="A628" s="15" t="n"/>
      <c r="B628" s="15" t="n"/>
      <c r="C628" s="15" t="n"/>
      <c r="D628" s="15" t="n"/>
      <c r="E628" s="15" t="n"/>
      <c r="F628" s="15" t="n"/>
      <c r="G628" s="15" t="n"/>
      <c r="H628" s="15" t="n"/>
      <c r="I628" s="15" t="n"/>
      <c r="J628" s="15" t="n"/>
      <c r="K628" s="15" t="n"/>
    </row>
    <row r="629">
      <c r="A629" s="15" t="n"/>
      <c r="B629" s="15" t="n"/>
      <c r="C629" s="15" t="n"/>
      <c r="D629" s="15" t="n"/>
      <c r="E629" s="15" t="n"/>
      <c r="F629" s="15" t="n"/>
      <c r="G629" s="15" t="n"/>
      <c r="H629" s="15" t="n"/>
      <c r="I629" s="15" t="n"/>
      <c r="J629" s="15" t="n"/>
      <c r="K629" s="15" t="n"/>
    </row>
    <row r="630">
      <c r="A630" s="15" t="n"/>
      <c r="B630" s="15" t="n"/>
      <c r="C630" s="15" t="n"/>
      <c r="D630" s="15" t="n"/>
      <c r="E630" s="15" t="n"/>
      <c r="F630" s="15" t="n"/>
      <c r="G630" s="15" t="n"/>
      <c r="H630" s="15" t="n"/>
      <c r="I630" s="15" t="n"/>
      <c r="J630" s="15" t="n"/>
      <c r="K630" s="15" t="n"/>
    </row>
    <row r="631">
      <c r="A631" s="15" t="n"/>
      <c r="B631" s="15" t="n"/>
      <c r="C631" s="15" t="n"/>
      <c r="D631" s="15" t="n"/>
      <c r="E631" s="15" t="n"/>
      <c r="F631" s="15" t="n"/>
      <c r="G631" s="15" t="n"/>
      <c r="H631" s="15" t="n"/>
      <c r="I631" s="15" t="n"/>
      <c r="J631" s="15" t="n"/>
      <c r="K631" s="15" t="n"/>
    </row>
    <row r="632">
      <c r="A632" s="15" t="n"/>
      <c r="B632" s="15" t="n"/>
      <c r="C632" s="15" t="n"/>
      <c r="D632" s="15" t="n"/>
      <c r="E632" s="15" t="n"/>
      <c r="F632" s="15" t="n"/>
      <c r="G632" s="15" t="n"/>
      <c r="H632" s="15" t="n"/>
      <c r="I632" s="15" t="n"/>
      <c r="J632" s="15" t="n"/>
      <c r="K632" s="15" t="n"/>
    </row>
    <row r="633">
      <c r="A633" s="15" t="n"/>
      <c r="B633" s="15" t="n"/>
      <c r="C633" s="15" t="n"/>
      <c r="D633" s="15" t="n"/>
      <c r="E633" s="15" t="n"/>
      <c r="F633" s="15" t="n"/>
      <c r="G633" s="15" t="n"/>
      <c r="H633" s="15" t="n"/>
      <c r="I633" s="15" t="n"/>
      <c r="J633" s="15" t="n"/>
      <c r="K633" s="15" t="n"/>
    </row>
    <row r="634">
      <c r="A634" s="15" t="n"/>
      <c r="B634" s="15" t="n"/>
      <c r="C634" s="15" t="n"/>
      <c r="D634" s="15" t="n"/>
      <c r="E634" s="15" t="n"/>
      <c r="F634" s="15" t="n"/>
      <c r="G634" s="15" t="n"/>
      <c r="H634" s="15" t="n"/>
      <c r="I634" s="15" t="n"/>
      <c r="J634" s="15" t="n"/>
      <c r="K634" s="15" t="n"/>
    </row>
    <row r="635">
      <c r="A635" s="15" t="n"/>
      <c r="B635" s="15" t="n"/>
      <c r="C635" s="15" t="n"/>
      <c r="D635" s="15" t="n"/>
      <c r="E635" s="15" t="n"/>
      <c r="F635" s="15" t="n"/>
      <c r="G635" s="15" t="n"/>
      <c r="H635" s="15" t="n"/>
      <c r="I635" s="15" t="n"/>
      <c r="J635" s="15" t="n"/>
      <c r="K635" s="15" t="n"/>
    </row>
    <row r="636">
      <c r="A636" s="15" t="n"/>
      <c r="B636" s="15" t="n"/>
      <c r="C636" s="15" t="n"/>
      <c r="D636" s="15" t="n"/>
      <c r="E636" s="15" t="n"/>
      <c r="F636" s="15" t="n"/>
      <c r="G636" s="15" t="n"/>
      <c r="H636" s="15" t="n"/>
      <c r="I636" s="15" t="n"/>
      <c r="J636" s="15" t="n"/>
      <c r="K636" s="15" t="n"/>
    </row>
    <row r="637">
      <c r="A637" s="15" t="n"/>
      <c r="B637" s="15" t="n"/>
      <c r="C637" s="15" t="n"/>
      <c r="D637" s="15" t="n"/>
      <c r="E637" s="15" t="n"/>
      <c r="F637" s="15" t="n"/>
      <c r="G637" s="15" t="n"/>
      <c r="H637" s="15" t="n"/>
      <c r="I637" s="15" t="n"/>
      <c r="J637" s="15" t="n"/>
      <c r="K637" s="15" t="n"/>
    </row>
    <row r="638">
      <c r="A638" s="15" t="n"/>
      <c r="B638" s="15" t="n"/>
      <c r="C638" s="15" t="n"/>
      <c r="D638" s="15" t="n"/>
      <c r="E638" s="15" t="n"/>
      <c r="F638" s="15" t="n"/>
      <c r="G638" s="15" t="n"/>
      <c r="H638" s="15" t="n"/>
      <c r="I638" s="15" t="n"/>
      <c r="J638" s="15" t="n"/>
      <c r="K638" s="15" t="n"/>
    </row>
    <row r="639">
      <c r="A639" s="15" t="n"/>
      <c r="B639" s="15" t="n"/>
      <c r="C639" s="15" t="n"/>
      <c r="D639" s="15" t="n"/>
      <c r="E639" s="15" t="n"/>
      <c r="F639" s="15" t="n"/>
      <c r="G639" s="15" t="n"/>
      <c r="H639" s="15" t="n"/>
      <c r="I639" s="15" t="n"/>
      <c r="J639" s="15" t="n"/>
      <c r="K639" s="15" t="n"/>
    </row>
    <row r="640">
      <c r="A640" s="15" t="n"/>
      <c r="B640" s="15" t="n"/>
      <c r="C640" s="15" t="n"/>
      <c r="D640" s="15" t="n"/>
      <c r="E640" s="15" t="n"/>
      <c r="F640" s="15" t="n"/>
      <c r="G640" s="15" t="n"/>
      <c r="H640" s="15" t="n"/>
      <c r="I640" s="15" t="n"/>
      <c r="J640" s="15" t="n"/>
      <c r="K640" s="15" t="n"/>
    </row>
    <row r="641">
      <c r="A641" s="15" t="n"/>
      <c r="B641" s="15" t="n"/>
      <c r="C641" s="15" t="n"/>
      <c r="D641" s="15" t="n"/>
      <c r="E641" s="15" t="n"/>
      <c r="F641" s="15" t="n"/>
      <c r="G641" s="15" t="n"/>
      <c r="H641" s="15" t="n"/>
      <c r="I641" s="15" t="n"/>
      <c r="J641" s="15" t="n"/>
      <c r="K641" s="15" t="n"/>
    </row>
    <row r="642">
      <c r="A642" s="15" t="n"/>
      <c r="B642" s="15" t="n"/>
      <c r="C642" s="15" t="n"/>
      <c r="D642" s="15" t="n"/>
      <c r="E642" s="15" t="n"/>
      <c r="F642" s="15" t="n"/>
      <c r="G642" s="15" t="n"/>
      <c r="H642" s="15" t="n"/>
      <c r="I642" s="15" t="n"/>
      <c r="J642" s="15" t="n"/>
      <c r="K642" s="15" t="n"/>
    </row>
    <row r="643">
      <c r="A643" s="15" t="n"/>
      <c r="B643" s="15" t="n"/>
      <c r="C643" s="15" t="n"/>
      <c r="D643" s="15" t="n"/>
      <c r="E643" s="15" t="n"/>
      <c r="F643" s="15" t="n"/>
      <c r="G643" s="15" t="n"/>
      <c r="H643" s="15" t="n"/>
      <c r="I643" s="15" t="n"/>
      <c r="J643" s="15" t="n"/>
      <c r="K643" s="15" t="n"/>
    </row>
    <row r="644">
      <c r="A644" s="15" t="n"/>
      <c r="B644" s="15" t="n"/>
      <c r="C644" s="15" t="n"/>
      <c r="D644" s="15" t="n"/>
      <c r="E644" s="15" t="n"/>
      <c r="F644" s="15" t="n"/>
      <c r="G644" s="15" t="n"/>
      <c r="H644" s="15" t="n"/>
      <c r="I644" s="15" t="n"/>
      <c r="J644" s="15" t="n"/>
      <c r="K644" s="15" t="n"/>
    </row>
    <row r="645">
      <c r="A645" s="15" t="n"/>
      <c r="B645" s="15" t="n"/>
      <c r="C645" s="15" t="n"/>
      <c r="D645" s="15" t="n"/>
      <c r="E645" s="15" t="n"/>
      <c r="F645" s="15" t="n"/>
      <c r="G645" s="15" t="n"/>
      <c r="H645" s="15" t="n"/>
      <c r="I645" s="15" t="n"/>
      <c r="J645" s="15" t="n"/>
      <c r="K645" s="15" t="n"/>
    </row>
    <row r="646">
      <c r="A646" s="15" t="n"/>
      <c r="B646" s="15" t="n"/>
      <c r="C646" s="15" t="n"/>
      <c r="D646" s="15" t="n"/>
      <c r="E646" s="15" t="n"/>
      <c r="F646" s="15" t="n"/>
      <c r="G646" s="15" t="n"/>
      <c r="H646" s="15" t="n"/>
      <c r="I646" s="15" t="n"/>
      <c r="J646" s="15" t="n"/>
      <c r="K646" s="15" t="n"/>
    </row>
    <row r="647">
      <c r="A647" s="15" t="n"/>
      <c r="B647" s="15" t="n"/>
      <c r="C647" s="15" t="n"/>
      <c r="D647" s="15" t="n"/>
      <c r="E647" s="15" t="n"/>
      <c r="F647" s="15" t="n"/>
      <c r="G647" s="15" t="n"/>
      <c r="H647" s="15" t="n"/>
      <c r="I647" s="15" t="n"/>
      <c r="J647" s="15" t="n"/>
      <c r="K647" s="15" t="n"/>
    </row>
    <row r="648">
      <c r="A648" s="15" t="n"/>
      <c r="B648" s="15" t="n"/>
      <c r="C648" s="15" t="n"/>
      <c r="D648" s="15" t="n"/>
      <c r="E648" s="15" t="n"/>
      <c r="F648" s="15" t="n"/>
      <c r="G648" s="15" t="n"/>
      <c r="H648" s="15" t="n"/>
      <c r="I648" s="15" t="n"/>
      <c r="J648" s="15" t="n"/>
      <c r="K648" s="15" t="n"/>
    </row>
    <row r="649">
      <c r="A649" s="15" t="n"/>
      <c r="B649" s="15" t="n"/>
      <c r="C649" s="15" t="n"/>
      <c r="D649" s="15" t="n"/>
      <c r="E649" s="15" t="n"/>
      <c r="F649" s="15" t="n"/>
      <c r="G649" s="15" t="n"/>
      <c r="H649" s="15" t="n"/>
      <c r="I649" s="15" t="n"/>
      <c r="J649" s="15" t="n"/>
      <c r="K649" s="15" t="n"/>
    </row>
    <row r="650">
      <c r="A650" s="15" t="n"/>
      <c r="B650" s="15" t="n"/>
      <c r="C650" s="15" t="n"/>
      <c r="D650" s="15" t="n"/>
      <c r="E650" s="15" t="n"/>
      <c r="F650" s="15" t="n"/>
      <c r="G650" s="15" t="n"/>
      <c r="H650" s="15" t="n"/>
      <c r="I650" s="15" t="n"/>
      <c r="J650" s="15" t="n"/>
      <c r="K650" s="15" t="n"/>
    </row>
    <row r="651">
      <c r="A651" s="15" t="n"/>
      <c r="B651" s="15" t="n"/>
      <c r="C651" s="15" t="n"/>
      <c r="D651" s="15" t="n"/>
      <c r="E651" s="15" t="n"/>
      <c r="F651" s="15" t="n"/>
      <c r="G651" s="15" t="n"/>
      <c r="H651" s="15" t="n"/>
      <c r="I651" s="15" t="n"/>
      <c r="J651" s="15" t="n"/>
      <c r="K651" s="15" t="n"/>
    </row>
    <row r="652">
      <c r="A652" s="15" t="n"/>
      <c r="B652" s="15" t="n"/>
      <c r="C652" s="15" t="n"/>
      <c r="D652" s="15" t="n"/>
      <c r="E652" s="15" t="n"/>
      <c r="F652" s="15" t="n"/>
      <c r="G652" s="15" t="n"/>
      <c r="H652" s="15" t="n"/>
      <c r="I652" s="15" t="n"/>
      <c r="J652" s="15" t="n"/>
      <c r="K652" s="15" t="n"/>
    </row>
    <row r="653">
      <c r="A653" s="15" t="n"/>
      <c r="B653" s="15" t="n"/>
      <c r="C653" s="15" t="n"/>
      <c r="D653" s="15" t="n"/>
      <c r="E653" s="15" t="n"/>
      <c r="F653" s="15" t="n"/>
      <c r="G653" s="15" t="n"/>
      <c r="H653" s="15" t="n"/>
      <c r="I653" s="15" t="n"/>
      <c r="J653" s="15" t="n"/>
      <c r="K653" s="15" t="n"/>
    </row>
    <row r="654">
      <c r="A654" s="15" t="n"/>
      <c r="B654" s="15" t="n"/>
      <c r="C654" s="15" t="n"/>
      <c r="D654" s="15" t="n"/>
      <c r="E654" s="15" t="n"/>
      <c r="F654" s="15" t="n"/>
      <c r="G654" s="15" t="n"/>
      <c r="H654" s="15" t="n"/>
      <c r="I654" s="15" t="n"/>
      <c r="J654" s="15" t="n"/>
      <c r="K654" s="15" t="n"/>
    </row>
    <row r="655">
      <c r="A655" s="15" t="n"/>
      <c r="B655" s="15" t="n"/>
      <c r="C655" s="15" t="n"/>
      <c r="D655" s="15" t="n"/>
      <c r="E655" s="15" t="n"/>
      <c r="F655" s="15" t="n"/>
      <c r="G655" s="15" t="n"/>
      <c r="H655" s="15" t="n"/>
      <c r="I655" s="15" t="n"/>
      <c r="J655" s="15" t="n"/>
      <c r="K655" s="15" t="n"/>
    </row>
    <row r="656">
      <c r="A656" s="15" t="n"/>
      <c r="B656" s="15" t="n"/>
      <c r="C656" s="15" t="n"/>
      <c r="D656" s="15" t="n"/>
      <c r="E656" s="15" t="n"/>
      <c r="F656" s="15" t="n"/>
      <c r="G656" s="15" t="n"/>
      <c r="H656" s="15" t="n"/>
      <c r="I656" s="15" t="n"/>
      <c r="J656" s="15" t="n"/>
      <c r="K656" s="15" t="n"/>
    </row>
    <row r="657">
      <c r="A657" s="15" t="n"/>
      <c r="B657" s="15" t="n"/>
      <c r="C657" s="15" t="n"/>
      <c r="D657" s="15" t="n"/>
      <c r="E657" s="15" t="n"/>
      <c r="F657" s="15" t="n"/>
      <c r="G657" s="15" t="n"/>
      <c r="H657" s="15" t="n"/>
      <c r="I657" s="15" t="n"/>
      <c r="J657" s="15" t="n"/>
      <c r="K657" s="15" t="n"/>
    </row>
    <row r="658">
      <c r="A658" s="15" t="n"/>
      <c r="B658" s="15" t="n"/>
      <c r="C658" s="15" t="n"/>
      <c r="D658" s="15" t="n"/>
      <c r="E658" s="15" t="n"/>
      <c r="F658" s="15" t="n"/>
      <c r="G658" s="15" t="n"/>
      <c r="H658" s="15" t="n"/>
      <c r="I658" s="15" t="n"/>
      <c r="J658" s="15" t="n"/>
      <c r="K658" s="15" t="n"/>
    </row>
    <row r="659">
      <c r="A659" s="15" t="n"/>
      <c r="B659" s="15" t="n"/>
      <c r="C659" s="15" t="n"/>
      <c r="D659" s="15" t="n"/>
      <c r="E659" s="15" t="n"/>
      <c r="F659" s="15" t="n"/>
      <c r="G659" s="15" t="n"/>
      <c r="H659" s="15" t="n"/>
      <c r="I659" s="15" t="n"/>
      <c r="J659" s="15" t="n"/>
      <c r="K659" s="15" t="n"/>
    </row>
    <row r="660">
      <c r="A660" s="15" t="n"/>
      <c r="B660" s="15" t="n"/>
      <c r="C660" s="15" t="n"/>
      <c r="D660" s="15" t="n"/>
      <c r="E660" s="15" t="n"/>
      <c r="F660" s="15" t="n"/>
      <c r="G660" s="15" t="n"/>
      <c r="H660" s="15" t="n"/>
      <c r="I660" s="15" t="n"/>
      <c r="J660" s="15" t="n"/>
      <c r="K660" s="15" t="n"/>
    </row>
    <row r="661">
      <c r="A661" s="15" t="n"/>
      <c r="B661" s="15" t="n"/>
      <c r="C661" s="15" t="n"/>
      <c r="D661" s="15" t="n"/>
      <c r="E661" s="15" t="n"/>
      <c r="F661" s="15" t="n"/>
      <c r="G661" s="15" t="n"/>
      <c r="H661" s="15" t="n"/>
      <c r="I661" s="15" t="n"/>
      <c r="J661" s="15" t="n"/>
      <c r="K661" s="15" t="n"/>
    </row>
    <row r="662">
      <c r="A662" s="15" t="n"/>
      <c r="B662" s="15" t="n"/>
      <c r="C662" s="15" t="n"/>
      <c r="D662" s="15" t="n"/>
      <c r="E662" s="15" t="n"/>
      <c r="F662" s="15" t="n"/>
      <c r="G662" s="15" t="n"/>
      <c r="H662" s="15" t="n"/>
      <c r="I662" s="15" t="n"/>
      <c r="J662" s="15" t="n"/>
      <c r="K662" s="15" t="n"/>
    </row>
    <row r="663">
      <c r="A663" s="15" t="n"/>
      <c r="B663" s="15" t="n"/>
      <c r="C663" s="15" t="n"/>
      <c r="D663" s="15" t="n"/>
      <c r="E663" s="15" t="n"/>
      <c r="F663" s="15" t="n"/>
      <c r="G663" s="15" t="n"/>
      <c r="H663" s="15" t="n"/>
      <c r="I663" s="15" t="n"/>
      <c r="J663" s="15" t="n"/>
      <c r="K663" s="15" t="n"/>
    </row>
    <row r="664">
      <c r="A664" s="15" t="n"/>
      <c r="B664" s="15" t="n"/>
      <c r="C664" s="15" t="n"/>
      <c r="D664" s="15" t="n"/>
      <c r="E664" s="15" t="n"/>
      <c r="F664" s="15" t="n"/>
      <c r="G664" s="15" t="n"/>
      <c r="H664" s="15" t="n"/>
      <c r="I664" s="15" t="n"/>
      <c r="J664" s="15" t="n"/>
      <c r="K664" s="15" t="n"/>
    </row>
    <row r="665">
      <c r="A665" s="15" t="n"/>
      <c r="B665" s="15" t="n"/>
      <c r="C665" s="15" t="n"/>
      <c r="D665" s="15" t="n"/>
      <c r="E665" s="15" t="n"/>
      <c r="F665" s="15" t="n"/>
      <c r="G665" s="15" t="n"/>
      <c r="H665" s="15" t="n"/>
      <c r="I665" s="15" t="n"/>
      <c r="J665" s="15" t="n"/>
      <c r="K665" s="15" t="n"/>
    </row>
    <row r="666">
      <c r="A666" s="15" t="n"/>
      <c r="B666" s="15" t="n"/>
      <c r="C666" s="15" t="n"/>
      <c r="D666" s="15" t="n"/>
      <c r="E666" s="15" t="n"/>
      <c r="F666" s="15" t="n"/>
      <c r="G666" s="15" t="n"/>
      <c r="H666" s="15" t="n"/>
      <c r="I666" s="15" t="n"/>
      <c r="J666" s="15" t="n"/>
      <c r="K666" s="15" t="n"/>
    </row>
    <row r="667">
      <c r="A667" s="15" t="n"/>
      <c r="B667" s="15" t="n"/>
      <c r="C667" s="15" t="n"/>
      <c r="D667" s="15" t="n"/>
      <c r="E667" s="15" t="n"/>
      <c r="F667" s="15" t="n"/>
      <c r="G667" s="15" t="n"/>
      <c r="H667" s="15" t="n"/>
      <c r="I667" s="15" t="n"/>
      <c r="J667" s="15" t="n"/>
      <c r="K667" s="15" t="n"/>
    </row>
    <row r="668">
      <c r="A668" s="15" t="n"/>
      <c r="B668" s="15" t="n"/>
      <c r="C668" s="15" t="n"/>
      <c r="D668" s="15" t="n"/>
      <c r="E668" s="15" t="n"/>
      <c r="F668" s="15" t="n"/>
      <c r="G668" s="15" t="n"/>
      <c r="H668" s="15" t="n"/>
      <c r="I668" s="15" t="n"/>
      <c r="J668" s="15" t="n"/>
      <c r="K668" s="15" t="n"/>
    </row>
    <row r="669">
      <c r="A669" s="15" t="n"/>
      <c r="B669" s="15" t="n"/>
      <c r="C669" s="15" t="n"/>
      <c r="D669" s="15" t="n"/>
      <c r="E669" s="15" t="n"/>
      <c r="F669" s="15" t="n"/>
      <c r="G669" s="15" t="n"/>
      <c r="H669" s="15" t="n"/>
      <c r="I669" s="15" t="n"/>
      <c r="J669" s="15" t="n"/>
      <c r="K669" s="15" t="n"/>
    </row>
    <row r="670">
      <c r="A670" s="15" t="n"/>
      <c r="B670" s="15" t="n"/>
      <c r="C670" s="15" t="n"/>
      <c r="D670" s="15" t="n"/>
      <c r="E670" s="15" t="n"/>
      <c r="F670" s="15" t="n"/>
      <c r="G670" s="15" t="n"/>
      <c r="H670" s="15" t="n"/>
      <c r="I670" s="15" t="n"/>
      <c r="J670" s="15" t="n"/>
      <c r="K670" s="15" t="n"/>
    </row>
    <row r="671">
      <c r="A671" s="15" t="n"/>
      <c r="B671" s="15" t="n"/>
      <c r="C671" s="15" t="n"/>
      <c r="D671" s="15" t="n"/>
      <c r="E671" s="15" t="n"/>
      <c r="F671" s="15" t="n"/>
      <c r="G671" s="15" t="n"/>
      <c r="H671" s="15" t="n"/>
      <c r="I671" s="15" t="n"/>
      <c r="J671" s="15" t="n"/>
      <c r="K671" s="15" t="n"/>
    </row>
    <row r="672">
      <c r="A672" s="15" t="n"/>
      <c r="B672" s="15" t="n"/>
      <c r="C672" s="15" t="n"/>
      <c r="D672" s="15" t="n"/>
      <c r="E672" s="15" t="n"/>
      <c r="F672" s="15" t="n"/>
      <c r="G672" s="15" t="n"/>
      <c r="H672" s="15" t="n"/>
      <c r="I672" s="15" t="n"/>
      <c r="J672" s="15" t="n"/>
      <c r="K672" s="15" t="n"/>
    </row>
    <row r="673">
      <c r="A673" s="15" t="n"/>
      <c r="B673" s="15" t="n"/>
      <c r="C673" s="15" t="n"/>
      <c r="D673" s="15" t="n"/>
      <c r="E673" s="15" t="n"/>
      <c r="F673" s="15" t="n"/>
      <c r="G673" s="15" t="n"/>
      <c r="H673" s="15" t="n"/>
      <c r="I673" s="15" t="n"/>
      <c r="J673" s="15" t="n"/>
      <c r="K673" s="15" t="n"/>
    </row>
    <row r="674">
      <c r="A674" s="15" t="n"/>
      <c r="B674" s="15" t="n"/>
      <c r="C674" s="15" t="n"/>
      <c r="D674" s="15" t="n"/>
      <c r="E674" s="15" t="n"/>
      <c r="F674" s="15" t="n"/>
      <c r="G674" s="15" t="n"/>
      <c r="H674" s="15" t="n"/>
      <c r="I674" s="15" t="n"/>
      <c r="J674" s="15" t="n"/>
      <c r="K674" s="15" t="n"/>
    </row>
    <row r="675">
      <c r="A675" s="15" t="n"/>
      <c r="B675" s="15" t="n"/>
      <c r="C675" s="15" t="n"/>
      <c r="D675" s="15" t="n"/>
      <c r="E675" s="15" t="n"/>
      <c r="F675" s="15" t="n"/>
      <c r="G675" s="15" t="n"/>
      <c r="H675" s="15" t="n"/>
      <c r="I675" s="15" t="n"/>
      <c r="J675" s="15" t="n"/>
      <c r="K675" s="15" t="n"/>
    </row>
    <row r="676">
      <c r="A676" s="15" t="n"/>
      <c r="B676" s="15" t="n"/>
      <c r="C676" s="15" t="n"/>
      <c r="D676" s="15" t="n"/>
      <c r="E676" s="15" t="n"/>
      <c r="F676" s="15" t="n"/>
      <c r="G676" s="15" t="n"/>
      <c r="H676" s="15" t="n"/>
      <c r="I676" s="15" t="n"/>
      <c r="J676" s="15" t="n"/>
      <c r="K676" s="15" t="n"/>
    </row>
    <row r="677">
      <c r="A677" s="15" t="n"/>
      <c r="B677" s="15" t="n"/>
      <c r="C677" s="15" t="n"/>
      <c r="D677" s="15" t="n"/>
      <c r="E677" s="15" t="n"/>
      <c r="F677" s="15" t="n"/>
      <c r="G677" s="15" t="n"/>
      <c r="H677" s="15" t="n"/>
      <c r="I677" s="15" t="n"/>
      <c r="J677" s="15" t="n"/>
      <c r="K677" s="15" t="n"/>
    </row>
    <row r="678">
      <c r="A678" s="15" t="n"/>
      <c r="B678" s="15" t="n"/>
      <c r="C678" s="15" t="n"/>
      <c r="D678" s="15" t="n"/>
      <c r="E678" s="15" t="n"/>
      <c r="F678" s="15" t="n"/>
      <c r="G678" s="15" t="n"/>
      <c r="H678" s="15" t="n"/>
      <c r="I678" s="15" t="n"/>
      <c r="J678" s="15" t="n"/>
      <c r="K678" s="15" t="n"/>
    </row>
    <row r="679">
      <c r="A679" s="15" t="n"/>
      <c r="B679" s="15" t="n"/>
      <c r="C679" s="15" t="n"/>
      <c r="D679" s="15" t="n"/>
      <c r="E679" s="15" t="n"/>
      <c r="F679" s="15" t="n"/>
      <c r="G679" s="15" t="n"/>
      <c r="H679" s="15" t="n"/>
      <c r="I679" s="15" t="n"/>
      <c r="J679" s="15" t="n"/>
      <c r="K679" s="15" t="n"/>
    </row>
    <row r="680">
      <c r="A680" s="15" t="n"/>
      <c r="B680" s="15" t="n"/>
      <c r="C680" s="15" t="n"/>
      <c r="D680" s="15" t="n"/>
      <c r="E680" s="15" t="n"/>
      <c r="F680" s="15" t="n"/>
      <c r="G680" s="15" t="n"/>
      <c r="H680" s="15" t="n"/>
      <c r="I680" s="15" t="n"/>
      <c r="J680" s="15" t="n"/>
      <c r="K680" s="15" t="n"/>
    </row>
    <row r="681">
      <c r="A681" s="15" t="n"/>
      <c r="B681" s="15" t="n"/>
      <c r="C681" s="15" t="n"/>
      <c r="D681" s="15" t="n"/>
      <c r="E681" s="15" t="n"/>
      <c r="F681" s="15" t="n"/>
      <c r="G681" s="15" t="n"/>
      <c r="H681" s="15" t="n"/>
      <c r="I681" s="15" t="n"/>
      <c r="J681" s="15" t="n"/>
      <c r="K681" s="15" t="n"/>
    </row>
    <row r="682">
      <c r="A682" s="15" t="n"/>
      <c r="B682" s="15" t="n"/>
      <c r="C682" s="15" t="n"/>
      <c r="D682" s="15" t="n"/>
      <c r="E682" s="15" t="n"/>
      <c r="F682" s="15" t="n"/>
      <c r="G682" s="15" t="n"/>
      <c r="H682" s="15" t="n"/>
      <c r="I682" s="15" t="n"/>
      <c r="J682" s="15" t="n"/>
      <c r="K682" s="15" t="n"/>
    </row>
    <row r="683">
      <c r="A683" s="15" t="n"/>
      <c r="B683" s="15" t="n"/>
      <c r="C683" s="15" t="n"/>
      <c r="D683" s="15" t="n"/>
      <c r="E683" s="15" t="n"/>
      <c r="F683" s="15" t="n"/>
      <c r="G683" s="15" t="n"/>
      <c r="H683" s="15" t="n"/>
      <c r="I683" s="15" t="n"/>
      <c r="J683" s="15" t="n"/>
      <c r="K683" s="15" t="n"/>
    </row>
    <row r="684">
      <c r="A684" s="15" t="n"/>
      <c r="B684" s="15" t="n"/>
      <c r="C684" s="15" t="n"/>
      <c r="D684" s="15" t="n"/>
      <c r="E684" s="15" t="n"/>
      <c r="F684" s="15" t="n"/>
      <c r="G684" s="15" t="n"/>
      <c r="H684" s="15" t="n"/>
      <c r="I684" s="15" t="n"/>
      <c r="J684" s="15" t="n"/>
      <c r="K684" s="15" t="n"/>
    </row>
    <row r="685">
      <c r="A685" s="15" t="n"/>
      <c r="B685" s="15" t="n"/>
      <c r="C685" s="15" t="n"/>
      <c r="D685" s="15" t="n"/>
      <c r="E685" s="15" t="n"/>
      <c r="F685" s="15" t="n"/>
      <c r="G685" s="15" t="n"/>
      <c r="H685" s="15" t="n"/>
      <c r="I685" s="15" t="n"/>
      <c r="J685" s="15" t="n"/>
      <c r="K685" s="15" t="n"/>
    </row>
    <row r="686">
      <c r="A686" s="15" t="n"/>
      <c r="B686" s="15" t="n"/>
      <c r="C686" s="15" t="n"/>
      <c r="D686" s="15" t="n"/>
      <c r="E686" s="15" t="n"/>
      <c r="F686" s="15" t="n"/>
      <c r="G686" s="15" t="n"/>
      <c r="H686" s="15" t="n"/>
      <c r="I686" s="15" t="n"/>
      <c r="J686" s="15" t="n"/>
      <c r="K686" s="15" t="n"/>
    </row>
    <row r="687">
      <c r="A687" s="15" t="n"/>
      <c r="B687" s="15" t="n"/>
      <c r="C687" s="15" t="n"/>
      <c r="D687" s="15" t="n"/>
      <c r="E687" s="15" t="n"/>
      <c r="F687" s="15" t="n"/>
      <c r="G687" s="15" t="n"/>
      <c r="H687" s="15" t="n"/>
      <c r="I687" s="15" t="n"/>
      <c r="J687" s="15" t="n"/>
      <c r="K687" s="15" t="n"/>
    </row>
    <row r="688">
      <c r="A688" s="15" t="n"/>
      <c r="B688" s="15" t="n"/>
      <c r="C688" s="15" t="n"/>
      <c r="D688" s="15" t="n"/>
      <c r="E688" s="15" t="n"/>
      <c r="F688" s="15" t="n"/>
      <c r="G688" s="15" t="n"/>
      <c r="H688" s="15" t="n"/>
      <c r="I688" s="15" t="n"/>
      <c r="J688" s="15" t="n"/>
      <c r="K688" s="15" t="n"/>
    </row>
    <row r="689">
      <c r="A689" s="15" t="n"/>
      <c r="B689" s="15" t="n"/>
      <c r="C689" s="15" t="n"/>
      <c r="D689" s="15" t="n"/>
      <c r="E689" s="15" t="n"/>
      <c r="F689" s="15" t="n"/>
      <c r="G689" s="15" t="n"/>
      <c r="H689" s="15" t="n"/>
      <c r="I689" s="15" t="n"/>
      <c r="J689" s="15" t="n"/>
      <c r="K689" s="15" t="n"/>
    </row>
    <row r="690">
      <c r="A690" s="15" t="n"/>
      <c r="B690" s="15" t="n"/>
      <c r="C690" s="15" t="n"/>
      <c r="D690" s="15" t="n"/>
      <c r="E690" s="15" t="n"/>
      <c r="F690" s="15" t="n"/>
      <c r="G690" s="15" t="n"/>
      <c r="H690" s="15" t="n"/>
      <c r="I690" s="15" t="n"/>
      <c r="J690" s="15" t="n"/>
      <c r="K690" s="15" t="n"/>
    </row>
    <row r="691">
      <c r="A691" s="15" t="n"/>
      <c r="B691" s="15" t="n"/>
      <c r="C691" s="15" t="n"/>
      <c r="D691" s="15" t="n"/>
      <c r="E691" s="15" t="n"/>
      <c r="F691" s="15" t="n"/>
      <c r="G691" s="15" t="n"/>
      <c r="H691" s="15" t="n"/>
      <c r="I691" s="15" t="n"/>
      <c r="J691" s="15" t="n"/>
      <c r="K691" s="15" t="n"/>
    </row>
    <row r="692">
      <c r="A692" s="15" t="n"/>
      <c r="B692" s="15" t="n"/>
      <c r="C692" s="15" t="n"/>
      <c r="D692" s="15" t="n"/>
      <c r="E692" s="15" t="n"/>
      <c r="F692" s="15" t="n"/>
      <c r="G692" s="15" t="n"/>
      <c r="H692" s="15" t="n"/>
      <c r="I692" s="15" t="n"/>
      <c r="J692" s="15" t="n"/>
      <c r="K692" s="15" t="n"/>
    </row>
    <row r="693">
      <c r="A693" s="15" t="n"/>
      <c r="B693" s="15" t="n"/>
      <c r="C693" s="15" t="n"/>
      <c r="D693" s="15" t="n"/>
      <c r="E693" s="15" t="n"/>
      <c r="F693" s="15" t="n"/>
      <c r="G693" s="15" t="n"/>
      <c r="H693" s="15" t="n"/>
      <c r="I693" s="15" t="n"/>
      <c r="J693" s="15" t="n"/>
      <c r="K693" s="15" t="n"/>
    </row>
    <row r="694">
      <c r="A694" s="15" t="n"/>
      <c r="B694" s="15" t="n"/>
      <c r="C694" s="15" t="n"/>
      <c r="D694" s="15" t="n"/>
      <c r="E694" s="15" t="n"/>
      <c r="F694" s="15" t="n"/>
      <c r="G694" s="15" t="n"/>
      <c r="H694" s="15" t="n"/>
      <c r="I694" s="15" t="n"/>
      <c r="J694" s="15" t="n"/>
      <c r="K694" s="15" t="n"/>
    </row>
    <row r="695">
      <c r="A695" s="15" t="n"/>
      <c r="B695" s="15" t="n"/>
      <c r="C695" s="15" t="n"/>
      <c r="D695" s="15" t="n"/>
      <c r="E695" s="15" t="n"/>
      <c r="F695" s="15" t="n"/>
      <c r="G695" s="15" t="n"/>
      <c r="H695" s="15" t="n"/>
      <c r="I695" s="15" t="n"/>
      <c r="J695" s="15" t="n"/>
      <c r="K695" s="15" t="n"/>
    </row>
    <row r="696">
      <c r="A696" s="15" t="n"/>
      <c r="B696" s="15" t="n"/>
      <c r="C696" s="15" t="n"/>
      <c r="D696" s="15" t="n"/>
      <c r="E696" s="15" t="n"/>
      <c r="F696" s="15" t="n"/>
      <c r="G696" s="15" t="n"/>
      <c r="H696" s="15" t="n"/>
      <c r="I696" s="15" t="n"/>
      <c r="J696" s="15" t="n"/>
      <c r="K696" s="15" t="n"/>
    </row>
    <row r="697">
      <c r="A697" s="15" t="n"/>
      <c r="B697" s="15" t="n"/>
      <c r="C697" s="15" t="n"/>
      <c r="D697" s="15" t="n"/>
      <c r="E697" s="15" t="n"/>
      <c r="F697" s="15" t="n"/>
      <c r="G697" s="15" t="n"/>
      <c r="H697" s="15" t="n"/>
      <c r="I697" s="15" t="n"/>
      <c r="J697" s="15" t="n"/>
      <c r="K697" s="15" t="n"/>
    </row>
    <row r="698">
      <c r="A698" s="15" t="n"/>
      <c r="B698" s="15" t="n"/>
      <c r="C698" s="15" t="n"/>
      <c r="D698" s="15" t="n"/>
      <c r="E698" s="15" t="n"/>
      <c r="F698" s="15" t="n"/>
      <c r="G698" s="15" t="n"/>
      <c r="H698" s="15" t="n"/>
      <c r="I698" s="15" t="n"/>
      <c r="J698" s="15" t="n"/>
      <c r="K698" s="15" t="n"/>
    </row>
    <row r="699">
      <c r="A699" s="15" t="n"/>
      <c r="B699" s="15" t="n"/>
      <c r="C699" s="15" t="n"/>
      <c r="D699" s="15" t="n"/>
      <c r="E699" s="15" t="n"/>
      <c r="F699" s="15" t="n"/>
      <c r="G699" s="15" t="n"/>
      <c r="H699" s="15" t="n"/>
      <c r="I699" s="15" t="n"/>
      <c r="J699" s="15" t="n"/>
      <c r="K699" s="15" t="n"/>
    </row>
    <row r="700">
      <c r="A700" s="15" t="n"/>
      <c r="B700" s="15" t="n"/>
      <c r="C700" s="15" t="n"/>
      <c r="D700" s="15" t="n"/>
      <c r="E700" s="15" t="n"/>
      <c r="F700" s="15" t="n"/>
      <c r="G700" s="15" t="n"/>
      <c r="H700" s="15" t="n"/>
      <c r="I700" s="15" t="n"/>
      <c r="J700" s="15" t="n"/>
      <c r="K700" s="15" t="n"/>
    </row>
    <row r="701">
      <c r="A701" s="15" t="n"/>
      <c r="B701" s="15" t="n"/>
      <c r="C701" s="15" t="n"/>
      <c r="D701" s="15" t="n"/>
      <c r="E701" s="15" t="n"/>
      <c r="F701" s="15" t="n"/>
      <c r="G701" s="15" t="n"/>
      <c r="H701" s="15" t="n"/>
      <c r="I701" s="15" t="n"/>
      <c r="J701" s="15" t="n"/>
      <c r="K701" s="15" t="n"/>
    </row>
    <row r="702">
      <c r="A702" s="15" t="n"/>
      <c r="B702" s="15" t="n"/>
      <c r="C702" s="15" t="n"/>
      <c r="D702" s="15" t="n"/>
      <c r="E702" s="15" t="n"/>
      <c r="F702" s="15" t="n"/>
      <c r="G702" s="15" t="n"/>
      <c r="H702" s="15" t="n"/>
      <c r="I702" s="15" t="n"/>
      <c r="J702" s="15" t="n"/>
      <c r="K702" s="15" t="n"/>
    </row>
    <row r="703">
      <c r="A703" s="15" t="n"/>
      <c r="B703" s="15" t="n"/>
      <c r="C703" s="15" t="n"/>
      <c r="D703" s="15" t="n"/>
      <c r="E703" s="15" t="n"/>
      <c r="F703" s="15" t="n"/>
      <c r="G703" s="15" t="n"/>
      <c r="H703" s="15" t="n"/>
      <c r="I703" s="15" t="n"/>
      <c r="J703" s="15" t="n"/>
      <c r="K703" s="15" t="n"/>
    </row>
    <row r="704">
      <c r="A704" s="15" t="n"/>
      <c r="B704" s="15" t="n"/>
      <c r="C704" s="15" t="n"/>
      <c r="D704" s="15" t="n"/>
      <c r="E704" s="15" t="n"/>
      <c r="F704" s="15" t="n"/>
      <c r="G704" s="15" t="n"/>
      <c r="H704" s="15" t="n"/>
      <c r="I704" s="15" t="n"/>
      <c r="J704" s="15" t="n"/>
      <c r="K704" s="15" t="n"/>
    </row>
    <row r="705">
      <c r="A705" s="15" t="n"/>
      <c r="B705" s="15" t="n"/>
      <c r="C705" s="15" t="n"/>
      <c r="D705" s="15" t="n"/>
      <c r="E705" s="15" t="n"/>
      <c r="F705" s="15" t="n"/>
      <c r="G705" s="15" t="n"/>
      <c r="H705" s="15" t="n"/>
      <c r="I705" s="15" t="n"/>
      <c r="J705" s="15" t="n"/>
      <c r="K705" s="15" t="n"/>
    </row>
    <row r="706">
      <c r="A706" s="15" t="n"/>
      <c r="B706" s="15" t="n"/>
      <c r="C706" s="15" t="n"/>
      <c r="D706" s="15" t="n"/>
      <c r="E706" s="15" t="n"/>
      <c r="F706" s="15" t="n"/>
      <c r="G706" s="15" t="n"/>
      <c r="H706" s="15" t="n"/>
      <c r="I706" s="15" t="n"/>
      <c r="J706" s="15" t="n"/>
      <c r="K706" s="15" t="n"/>
    </row>
    <row r="707">
      <c r="A707" s="15" t="n"/>
      <c r="B707" s="15" t="n"/>
      <c r="C707" s="15" t="n"/>
      <c r="D707" s="15" t="n"/>
      <c r="E707" s="15" t="n"/>
      <c r="F707" s="15" t="n"/>
      <c r="G707" s="15" t="n"/>
      <c r="H707" s="15" t="n"/>
      <c r="I707" s="15" t="n"/>
      <c r="J707" s="15" t="n"/>
      <c r="K707" s="15" t="n"/>
    </row>
    <row r="708">
      <c r="A708" s="15" t="n"/>
      <c r="B708" s="15" t="n"/>
      <c r="C708" s="15" t="n"/>
      <c r="D708" s="15" t="n"/>
      <c r="E708" s="15" t="n"/>
      <c r="F708" s="15" t="n"/>
      <c r="G708" s="15" t="n"/>
      <c r="H708" s="15" t="n"/>
      <c r="I708" s="15" t="n"/>
      <c r="J708" s="15" t="n"/>
      <c r="K708" s="15" t="n"/>
    </row>
    <row r="709">
      <c r="A709" s="15" t="n"/>
      <c r="B709" s="15" t="n"/>
      <c r="C709" s="15" t="n"/>
      <c r="D709" s="15" t="n"/>
      <c r="E709" s="15" t="n"/>
      <c r="F709" s="15" t="n"/>
      <c r="G709" s="15" t="n"/>
      <c r="H709" s="15" t="n"/>
      <c r="I709" s="15" t="n"/>
      <c r="J709" s="15" t="n"/>
      <c r="K709" s="15" t="n"/>
    </row>
    <row r="710">
      <c r="A710" s="15" t="n"/>
      <c r="B710" s="15" t="n"/>
      <c r="C710" s="15" t="n"/>
      <c r="D710" s="15" t="n"/>
      <c r="E710" s="15" t="n"/>
      <c r="F710" s="15" t="n"/>
      <c r="G710" s="15" t="n"/>
      <c r="H710" s="15" t="n"/>
      <c r="I710" s="15" t="n"/>
      <c r="J710" s="15" t="n"/>
      <c r="K710" s="15" t="n"/>
    </row>
    <row r="711">
      <c r="A711" s="15" t="n"/>
      <c r="B711" s="15" t="n"/>
      <c r="C711" s="15" t="n"/>
      <c r="D711" s="15" t="n"/>
      <c r="E711" s="15" t="n"/>
      <c r="F711" s="15" t="n"/>
      <c r="G711" s="15" t="n"/>
      <c r="H711" s="15" t="n"/>
      <c r="I711" s="15" t="n"/>
      <c r="J711" s="15" t="n"/>
      <c r="K711" s="15" t="n"/>
    </row>
    <row r="712">
      <c r="A712" s="15" t="n"/>
      <c r="B712" s="15" t="n"/>
      <c r="C712" s="15" t="n"/>
      <c r="D712" s="15" t="n"/>
      <c r="E712" s="15" t="n"/>
      <c r="F712" s="15" t="n"/>
      <c r="G712" s="15" t="n"/>
      <c r="H712" s="15" t="n"/>
      <c r="I712" s="15" t="n"/>
      <c r="J712" s="15" t="n"/>
      <c r="K712" s="15" t="n"/>
    </row>
    <row r="713">
      <c r="A713" s="15" t="n"/>
      <c r="B713" s="15" t="n"/>
      <c r="C713" s="15" t="n"/>
      <c r="D713" s="15" t="n"/>
      <c r="E713" s="15" t="n"/>
      <c r="F713" s="15" t="n"/>
      <c r="G713" s="15" t="n"/>
      <c r="H713" s="15" t="n"/>
      <c r="I713" s="15" t="n"/>
      <c r="J713" s="15" t="n"/>
      <c r="K713" s="15" t="n"/>
    </row>
    <row r="714">
      <c r="A714" s="15" t="n"/>
      <c r="B714" s="15" t="n"/>
      <c r="C714" s="15" t="n"/>
      <c r="D714" s="15" t="n"/>
      <c r="E714" s="15" t="n"/>
      <c r="F714" s="15" t="n"/>
      <c r="G714" s="15" t="n"/>
      <c r="H714" s="15" t="n"/>
      <c r="I714" s="15" t="n"/>
      <c r="J714" s="15" t="n"/>
      <c r="K714" s="15" t="n"/>
    </row>
    <row r="715">
      <c r="A715" s="15" t="n"/>
      <c r="B715" s="15" t="n"/>
      <c r="C715" s="15" t="n"/>
      <c r="D715" s="15" t="n"/>
      <c r="E715" s="15" t="n"/>
      <c r="F715" s="15" t="n"/>
      <c r="G715" s="15" t="n"/>
      <c r="H715" s="15" t="n"/>
      <c r="I715" s="15" t="n"/>
      <c r="J715" s="15" t="n"/>
      <c r="K715" s="15" t="n"/>
    </row>
    <row r="716">
      <c r="A716" s="15" t="n"/>
      <c r="B716" s="15" t="n"/>
      <c r="C716" s="15" t="n"/>
      <c r="D716" s="15" t="n"/>
      <c r="E716" s="15" t="n"/>
      <c r="F716" s="15" t="n"/>
      <c r="G716" s="15" t="n"/>
      <c r="H716" s="15" t="n"/>
      <c r="I716" s="15" t="n"/>
      <c r="J716" s="15" t="n"/>
      <c r="K716" s="15" t="n"/>
    </row>
    <row r="717">
      <c r="A717" s="15" t="n"/>
      <c r="B717" s="15" t="n"/>
      <c r="C717" s="15" t="n"/>
      <c r="D717" s="15" t="n"/>
      <c r="E717" s="15" t="n"/>
      <c r="F717" s="15" t="n"/>
      <c r="G717" s="15" t="n"/>
      <c r="H717" s="15" t="n"/>
      <c r="I717" s="15" t="n"/>
      <c r="J717" s="15" t="n"/>
      <c r="K717" s="15" t="n"/>
    </row>
    <row r="718">
      <c r="A718" s="15" t="n"/>
      <c r="B718" s="15" t="n"/>
      <c r="C718" s="15" t="n"/>
      <c r="D718" s="15" t="n"/>
      <c r="E718" s="15" t="n"/>
      <c r="F718" s="15" t="n"/>
      <c r="G718" s="15" t="n"/>
      <c r="H718" s="15" t="n"/>
      <c r="I718" s="15" t="n"/>
      <c r="J718" s="15" t="n"/>
      <c r="K718" s="15" t="n"/>
    </row>
    <row r="719">
      <c r="A719" s="15" t="n"/>
      <c r="B719" s="15" t="n"/>
      <c r="C719" s="15" t="n"/>
      <c r="D719" s="15" t="n"/>
      <c r="E719" s="15" t="n"/>
      <c r="F719" s="15" t="n"/>
      <c r="G719" s="15" t="n"/>
      <c r="H719" s="15" t="n"/>
      <c r="I719" s="15" t="n"/>
      <c r="J719" s="15" t="n"/>
      <c r="K719" s="15" t="n"/>
    </row>
    <row r="720">
      <c r="A720" s="15" t="n"/>
      <c r="B720" s="15" t="n"/>
      <c r="C720" s="15" t="n"/>
      <c r="D720" s="15" t="n"/>
      <c r="E720" s="15" t="n"/>
      <c r="F720" s="15" t="n"/>
      <c r="G720" s="15" t="n"/>
      <c r="H720" s="15" t="n"/>
      <c r="I720" s="15" t="n"/>
      <c r="J720" s="15" t="n"/>
      <c r="K720" s="15" t="n"/>
    </row>
    <row r="721">
      <c r="A721" s="15" t="n"/>
      <c r="B721" s="15" t="n"/>
      <c r="C721" s="15" t="n"/>
      <c r="D721" s="15" t="n"/>
      <c r="E721" s="15" t="n"/>
      <c r="F721" s="15" t="n"/>
      <c r="G721" s="15" t="n"/>
      <c r="H721" s="15" t="n"/>
      <c r="I721" s="15" t="n"/>
      <c r="J721" s="15" t="n"/>
      <c r="K721" s="15" t="n"/>
    </row>
    <row r="722">
      <c r="A722" s="15" t="n"/>
      <c r="B722" s="15" t="n"/>
      <c r="C722" s="15" t="n"/>
      <c r="D722" s="15" t="n"/>
      <c r="E722" s="15" t="n"/>
      <c r="F722" s="15" t="n"/>
      <c r="G722" s="15" t="n"/>
      <c r="H722" s="15" t="n"/>
      <c r="I722" s="15" t="n"/>
      <c r="J722" s="15" t="n"/>
      <c r="K722" s="15" t="n"/>
    </row>
    <row r="723">
      <c r="A723" s="15" t="n"/>
      <c r="B723" s="15" t="n"/>
      <c r="C723" s="15" t="n"/>
      <c r="D723" s="15" t="n"/>
      <c r="E723" s="15" t="n"/>
      <c r="F723" s="15" t="n"/>
      <c r="G723" s="15" t="n"/>
      <c r="H723" s="15" t="n"/>
      <c r="I723" s="15" t="n"/>
      <c r="J723" s="15" t="n"/>
      <c r="K723" s="15" t="n"/>
    </row>
    <row r="724">
      <c r="A724" s="15" t="n"/>
      <c r="B724" s="15" t="n"/>
      <c r="C724" s="15" t="n"/>
      <c r="D724" s="15" t="n"/>
      <c r="E724" s="15" t="n"/>
      <c r="F724" s="15" t="n"/>
      <c r="G724" s="15" t="n"/>
      <c r="H724" s="15" t="n"/>
      <c r="I724" s="15" t="n"/>
      <c r="J724" s="15" t="n"/>
      <c r="K724" s="15" t="n"/>
    </row>
    <row r="725">
      <c r="A725" s="15" t="n"/>
      <c r="B725" s="15" t="n"/>
      <c r="C725" s="15" t="n"/>
      <c r="D725" s="15" t="n"/>
      <c r="E725" s="15" t="n"/>
      <c r="F725" s="15" t="n"/>
      <c r="G725" s="15" t="n"/>
      <c r="H725" s="15" t="n"/>
      <c r="I725" s="15" t="n"/>
      <c r="J725" s="15" t="n"/>
      <c r="K725" s="15" t="n"/>
    </row>
    <row r="726">
      <c r="A726" s="15" t="n"/>
      <c r="B726" s="15" t="n"/>
      <c r="C726" s="15" t="n"/>
      <c r="D726" s="15" t="n"/>
      <c r="E726" s="15" t="n"/>
      <c r="F726" s="15" t="n"/>
      <c r="G726" s="15" t="n"/>
      <c r="H726" s="15" t="n"/>
      <c r="I726" s="15" t="n"/>
      <c r="J726" s="15" t="n"/>
      <c r="K726" s="15" t="n"/>
    </row>
    <row r="727">
      <c r="A727" s="15" t="n"/>
      <c r="B727" s="15" t="n"/>
      <c r="C727" s="15" t="n"/>
      <c r="D727" s="15" t="n"/>
      <c r="E727" s="15" t="n"/>
      <c r="F727" s="15" t="n"/>
      <c r="G727" s="15" t="n"/>
      <c r="H727" s="15" t="n"/>
      <c r="I727" s="15" t="n"/>
      <c r="J727" s="15" t="n"/>
      <c r="K727" s="15" t="n"/>
    </row>
    <row r="728">
      <c r="A728" s="15" t="n"/>
      <c r="B728" s="15" t="n"/>
      <c r="C728" s="15" t="n"/>
      <c r="D728" s="15" t="n"/>
      <c r="E728" s="15" t="n"/>
      <c r="F728" s="15" t="n"/>
      <c r="G728" s="15" t="n"/>
      <c r="H728" s="15" t="n"/>
      <c r="I728" s="15" t="n"/>
      <c r="J728" s="15" t="n"/>
      <c r="K728" s="15" t="n"/>
    </row>
    <row r="729">
      <c r="A729" s="15" t="n"/>
      <c r="B729" s="15" t="n"/>
      <c r="C729" s="15" t="n"/>
      <c r="D729" s="15" t="n"/>
      <c r="E729" s="15" t="n"/>
      <c r="F729" s="15" t="n"/>
      <c r="G729" s="15" t="n"/>
      <c r="H729" s="15" t="n"/>
      <c r="I729" s="15" t="n"/>
      <c r="J729" s="15" t="n"/>
      <c r="K729" s="15" t="n"/>
    </row>
    <row r="730">
      <c r="A730" s="15" t="n"/>
      <c r="B730" s="15" t="n"/>
      <c r="C730" s="15" t="n"/>
      <c r="D730" s="15" t="n"/>
      <c r="E730" s="15" t="n"/>
      <c r="F730" s="15" t="n"/>
      <c r="G730" s="15" t="n"/>
      <c r="H730" s="15" t="n"/>
      <c r="I730" s="15" t="n"/>
      <c r="J730" s="15" t="n"/>
      <c r="K730" s="15" t="n"/>
    </row>
    <row r="731">
      <c r="A731" s="15" t="n"/>
      <c r="B731" s="15" t="n"/>
      <c r="C731" s="15" t="n"/>
      <c r="D731" s="15" t="n"/>
      <c r="E731" s="15" t="n"/>
      <c r="F731" s="15" t="n"/>
      <c r="G731" s="15" t="n"/>
      <c r="H731" s="15" t="n"/>
      <c r="I731" s="15" t="n"/>
      <c r="J731" s="15" t="n"/>
      <c r="K731" s="15" t="n"/>
    </row>
    <row r="732">
      <c r="A732" s="15" t="n"/>
      <c r="B732" s="15" t="n"/>
      <c r="C732" s="15" t="n"/>
      <c r="D732" s="15" t="n"/>
      <c r="E732" s="15" t="n"/>
      <c r="F732" s="15" t="n"/>
      <c r="G732" s="15" t="n"/>
      <c r="H732" s="15" t="n"/>
      <c r="I732" s="15" t="n"/>
      <c r="J732" s="15" t="n"/>
      <c r="K732" s="15" t="n"/>
    </row>
    <row r="733">
      <c r="A733" s="15" t="n"/>
      <c r="B733" s="15" t="n"/>
      <c r="C733" s="15" t="n"/>
      <c r="D733" s="15" t="n"/>
      <c r="E733" s="15" t="n"/>
      <c r="F733" s="15" t="n"/>
      <c r="G733" s="15" t="n"/>
      <c r="H733" s="15" t="n"/>
      <c r="I733" s="15" t="n"/>
      <c r="J733" s="15" t="n"/>
      <c r="K733" s="15" t="n"/>
    </row>
    <row r="734">
      <c r="A734" s="15" t="n"/>
      <c r="B734" s="15" t="n"/>
      <c r="C734" s="15" t="n"/>
      <c r="D734" s="15" t="n"/>
      <c r="E734" s="15" t="n"/>
      <c r="F734" s="15" t="n"/>
      <c r="G734" s="15" t="n"/>
      <c r="H734" s="15" t="n"/>
      <c r="I734" s="15" t="n"/>
      <c r="J734" s="15" t="n"/>
      <c r="K734" s="15" t="n"/>
    </row>
    <row r="735">
      <c r="A735" s="15" t="n"/>
      <c r="B735" s="15" t="n"/>
      <c r="C735" s="15" t="n"/>
      <c r="D735" s="15" t="n"/>
      <c r="E735" s="15" t="n"/>
      <c r="F735" s="15" t="n"/>
      <c r="G735" s="15" t="n"/>
      <c r="H735" s="15" t="n"/>
      <c r="I735" s="15" t="n"/>
      <c r="J735" s="15" t="n"/>
      <c r="K735" s="15" t="n"/>
    </row>
    <row r="736">
      <c r="A736" s="15" t="n"/>
      <c r="B736" s="15" t="n"/>
      <c r="C736" s="15" t="n"/>
      <c r="D736" s="15" t="n"/>
      <c r="E736" s="15" t="n"/>
      <c r="F736" s="15" t="n"/>
      <c r="G736" s="15" t="n"/>
      <c r="H736" s="15" t="n"/>
      <c r="I736" s="15" t="n"/>
      <c r="J736" s="15" t="n"/>
      <c r="K736" s="15" t="n"/>
    </row>
    <row r="737">
      <c r="A737" s="15" t="n"/>
      <c r="B737" s="15" t="n"/>
      <c r="C737" s="15" t="n"/>
      <c r="D737" s="15" t="n"/>
      <c r="E737" s="15" t="n"/>
      <c r="F737" s="15" t="n"/>
      <c r="G737" s="15" t="n"/>
      <c r="H737" s="15" t="n"/>
      <c r="I737" s="15" t="n"/>
      <c r="J737" s="15" t="n"/>
      <c r="K737" s="15" t="n"/>
    </row>
    <row r="738">
      <c r="A738" s="15" t="n"/>
      <c r="B738" s="15" t="n"/>
      <c r="C738" s="15" t="n"/>
      <c r="D738" s="15" t="n"/>
      <c r="E738" s="15" t="n"/>
      <c r="F738" s="15" t="n"/>
      <c r="G738" s="15" t="n"/>
      <c r="H738" s="15" t="n"/>
      <c r="I738" s="15" t="n"/>
      <c r="J738" s="15" t="n"/>
      <c r="K738" s="15" t="n"/>
    </row>
    <row r="739">
      <c r="A739" s="15" t="n"/>
      <c r="B739" s="15" t="n"/>
      <c r="C739" s="15" t="n"/>
      <c r="D739" s="15" t="n"/>
      <c r="E739" s="15" t="n"/>
      <c r="F739" s="15" t="n"/>
      <c r="G739" s="15" t="n"/>
      <c r="H739" s="15" t="n"/>
      <c r="I739" s="15" t="n"/>
      <c r="J739" s="15" t="n"/>
      <c r="K739" s="15" t="n"/>
    </row>
    <row r="740">
      <c r="A740" s="15" t="n"/>
      <c r="B740" s="15" t="n"/>
      <c r="C740" s="15" t="n"/>
      <c r="D740" s="15" t="n"/>
      <c r="E740" s="15" t="n"/>
      <c r="F740" s="15" t="n"/>
      <c r="G740" s="15" t="n"/>
      <c r="H740" s="15" t="n"/>
      <c r="I740" s="15" t="n"/>
      <c r="J740" s="15" t="n"/>
      <c r="K740" s="15" t="n"/>
    </row>
    <row r="741">
      <c r="A741" s="15" t="n"/>
      <c r="B741" s="15" t="n"/>
      <c r="C741" s="15" t="n"/>
      <c r="D741" s="15" t="n"/>
      <c r="E741" s="15" t="n"/>
      <c r="F741" s="15" t="n"/>
      <c r="G741" s="15" t="n"/>
      <c r="H741" s="15" t="n"/>
      <c r="I741" s="15" t="n"/>
      <c r="J741" s="15" t="n"/>
      <c r="K741" s="15" t="n"/>
    </row>
    <row r="742">
      <c r="A742" s="15" t="n"/>
      <c r="B742" s="15" t="n"/>
      <c r="C742" s="15" t="n"/>
      <c r="D742" s="15" t="n"/>
      <c r="E742" s="15" t="n"/>
      <c r="F742" s="15" t="n"/>
      <c r="G742" s="15" t="n"/>
      <c r="H742" s="15" t="n"/>
      <c r="I742" s="15" t="n"/>
      <c r="J742" s="15" t="n"/>
      <c r="K742" s="15" t="n"/>
    </row>
    <row r="743">
      <c r="A743" s="15" t="n"/>
      <c r="B743" s="15" t="n"/>
      <c r="C743" s="15" t="n"/>
      <c r="D743" s="15" t="n"/>
      <c r="E743" s="15" t="n"/>
      <c r="F743" s="15" t="n"/>
      <c r="G743" s="15" t="n"/>
      <c r="H743" s="15" t="n"/>
      <c r="I743" s="15" t="n"/>
      <c r="J743" s="15" t="n"/>
      <c r="K743" s="15" t="n"/>
    </row>
    <row r="744">
      <c r="A744" s="15" t="n"/>
      <c r="B744" s="15" t="n"/>
      <c r="C744" s="15" t="n"/>
      <c r="D744" s="15" t="n"/>
      <c r="E744" s="15" t="n"/>
      <c r="F744" s="15" t="n"/>
      <c r="G744" s="15" t="n"/>
      <c r="H744" s="15" t="n"/>
      <c r="I744" s="15" t="n"/>
      <c r="J744" s="15" t="n"/>
      <c r="K744" s="15" t="n"/>
    </row>
    <row r="745">
      <c r="A745" s="15" t="n"/>
      <c r="B745" s="15" t="n"/>
      <c r="C745" s="15" t="n"/>
      <c r="D745" s="15" t="n"/>
      <c r="E745" s="15" t="n"/>
      <c r="F745" s="15" t="n"/>
      <c r="G745" s="15" t="n"/>
      <c r="H745" s="15" t="n"/>
      <c r="I745" s="15" t="n"/>
      <c r="J745" s="15" t="n"/>
      <c r="K745" s="15" t="n"/>
    </row>
    <row r="746">
      <c r="A746" s="15" t="n"/>
      <c r="B746" s="15" t="n"/>
      <c r="C746" s="15" t="n"/>
      <c r="D746" s="15" t="n"/>
      <c r="E746" s="15" t="n"/>
      <c r="F746" s="15" t="n"/>
      <c r="G746" s="15" t="n"/>
      <c r="H746" s="15" t="n"/>
      <c r="I746" s="15" t="n"/>
      <c r="J746" s="15" t="n"/>
      <c r="K746" s="15" t="n"/>
    </row>
    <row r="747">
      <c r="A747" s="15" t="n"/>
      <c r="B747" s="15" t="n"/>
      <c r="C747" s="15" t="n"/>
      <c r="D747" s="15" t="n"/>
      <c r="E747" s="15" t="n"/>
      <c r="F747" s="15" t="n"/>
      <c r="G747" s="15" t="n"/>
      <c r="H747" s="15" t="n"/>
      <c r="I747" s="15" t="n"/>
      <c r="J747" s="15" t="n"/>
      <c r="K747" s="15" t="n"/>
    </row>
    <row r="748">
      <c r="A748" s="15" t="n"/>
      <c r="B748" s="15" t="n"/>
      <c r="C748" s="15" t="n"/>
      <c r="D748" s="15" t="n"/>
      <c r="E748" s="15" t="n"/>
      <c r="F748" s="15" t="n"/>
      <c r="G748" s="15" t="n"/>
      <c r="H748" s="15" t="n"/>
      <c r="I748" s="15" t="n"/>
      <c r="J748" s="15" t="n"/>
      <c r="K748" s="15" t="n"/>
    </row>
    <row r="749">
      <c r="A749" s="15" t="n"/>
      <c r="B749" s="15" t="n"/>
      <c r="C749" s="15" t="n"/>
      <c r="D749" s="15" t="n"/>
      <c r="E749" s="15" t="n"/>
      <c r="F749" s="15" t="n"/>
      <c r="G749" s="15" t="n"/>
      <c r="H749" s="15" t="n"/>
      <c r="I749" s="15" t="n"/>
      <c r="J749" s="15" t="n"/>
      <c r="K749" s="15" t="n"/>
    </row>
    <row r="750">
      <c r="A750" s="15" t="n"/>
      <c r="B750" s="15" t="n"/>
      <c r="C750" s="15" t="n"/>
      <c r="D750" s="15" t="n"/>
      <c r="E750" s="15" t="n"/>
      <c r="F750" s="15" t="n"/>
      <c r="G750" s="15" t="n"/>
      <c r="H750" s="15" t="n"/>
      <c r="I750" s="15" t="n"/>
      <c r="J750" s="15" t="n"/>
      <c r="K750" s="15" t="n"/>
    </row>
    <row r="751">
      <c r="A751" s="15" t="n"/>
      <c r="B751" s="15" t="n"/>
      <c r="C751" s="15" t="n"/>
      <c r="D751" s="15" t="n"/>
      <c r="E751" s="15" t="n"/>
      <c r="F751" s="15" t="n"/>
      <c r="G751" s="15" t="n"/>
      <c r="H751" s="15" t="n"/>
      <c r="I751" s="15" t="n"/>
      <c r="J751" s="15" t="n"/>
      <c r="K751" s="15" t="n"/>
    </row>
    <row r="752">
      <c r="A752" s="15" t="n"/>
      <c r="B752" s="15" t="n"/>
      <c r="C752" s="15" t="n"/>
      <c r="D752" s="15" t="n"/>
      <c r="E752" s="15" t="n"/>
      <c r="F752" s="15" t="n"/>
      <c r="G752" s="15" t="n"/>
      <c r="H752" s="15" t="n"/>
      <c r="I752" s="15" t="n"/>
      <c r="J752" s="15" t="n"/>
      <c r="K752" s="15" t="n"/>
    </row>
    <row r="753">
      <c r="A753" s="15" t="n"/>
      <c r="B753" s="15" t="n"/>
      <c r="C753" s="15" t="n"/>
      <c r="D753" s="15" t="n"/>
      <c r="E753" s="15" t="n"/>
      <c r="F753" s="15" t="n"/>
      <c r="G753" s="15" t="n"/>
      <c r="H753" s="15" t="n"/>
      <c r="I753" s="15" t="n"/>
      <c r="J753" s="15" t="n"/>
      <c r="K753" s="15" t="n"/>
    </row>
    <row r="754">
      <c r="A754" s="15" t="n"/>
      <c r="B754" s="15" t="n"/>
      <c r="C754" s="15" t="n"/>
      <c r="D754" s="15" t="n"/>
      <c r="E754" s="15" t="n"/>
      <c r="F754" s="15" t="n"/>
      <c r="G754" s="15" t="n"/>
      <c r="H754" s="15" t="n"/>
      <c r="I754" s="15" t="n"/>
      <c r="J754" s="15" t="n"/>
      <c r="K754" s="15" t="n"/>
    </row>
    <row r="755">
      <c r="A755" s="15" t="n"/>
      <c r="B755" s="15" t="n"/>
      <c r="C755" s="15" t="n"/>
      <c r="D755" s="15" t="n"/>
      <c r="E755" s="15" t="n"/>
      <c r="F755" s="15" t="n"/>
      <c r="G755" s="15" t="n"/>
      <c r="H755" s="15" t="n"/>
      <c r="I755" s="15" t="n"/>
      <c r="J755" s="15" t="n"/>
      <c r="K755" s="15" t="n"/>
    </row>
    <row r="756">
      <c r="A756" s="15" t="n"/>
      <c r="B756" s="15" t="n"/>
      <c r="C756" s="15" t="n"/>
      <c r="D756" s="15" t="n"/>
      <c r="E756" s="15" t="n"/>
      <c r="F756" s="15" t="n"/>
      <c r="G756" s="15" t="n"/>
      <c r="H756" s="15" t="n"/>
      <c r="I756" s="15" t="n"/>
      <c r="J756" s="15" t="n"/>
      <c r="K756" s="15" t="n"/>
    </row>
    <row r="757">
      <c r="A757" s="15" t="n"/>
      <c r="B757" s="15" t="n"/>
      <c r="C757" s="15" t="n"/>
      <c r="D757" s="15" t="n"/>
      <c r="E757" s="15" t="n"/>
      <c r="F757" s="15" t="n"/>
      <c r="G757" s="15" t="n"/>
      <c r="H757" s="15" t="n"/>
      <c r="I757" s="15" t="n"/>
      <c r="J757" s="15" t="n"/>
      <c r="K757" s="15" t="n"/>
    </row>
    <row r="758">
      <c r="A758" s="15" t="n"/>
      <c r="B758" s="15" t="n"/>
      <c r="C758" s="15" t="n"/>
      <c r="D758" s="15" t="n"/>
      <c r="E758" s="15" t="n"/>
      <c r="F758" s="15" t="n"/>
      <c r="G758" s="15" t="n"/>
      <c r="H758" s="15" t="n"/>
      <c r="I758" s="15" t="n"/>
      <c r="J758" s="15" t="n"/>
      <c r="K758" s="15" t="n"/>
    </row>
    <row r="759">
      <c r="A759" s="15" t="n"/>
      <c r="B759" s="15" t="n"/>
      <c r="C759" s="15" t="n"/>
      <c r="D759" s="15" t="n"/>
      <c r="E759" s="15" t="n"/>
      <c r="F759" s="15" t="n"/>
      <c r="G759" s="15" t="n"/>
      <c r="H759" s="15" t="n"/>
      <c r="I759" s="15" t="n"/>
      <c r="J759" s="15" t="n"/>
      <c r="K759" s="15" t="n"/>
    </row>
    <row r="760">
      <c r="A760" s="15" t="n"/>
      <c r="B760" s="15" t="n"/>
      <c r="C760" s="15" t="n"/>
      <c r="D760" s="15" t="n"/>
      <c r="E760" s="15" t="n"/>
      <c r="F760" s="15" t="n"/>
      <c r="G760" s="15" t="n"/>
      <c r="H760" s="15" t="n"/>
      <c r="I760" s="15" t="n"/>
      <c r="J760" s="15" t="n"/>
      <c r="K760" s="15" t="n"/>
    </row>
    <row r="761">
      <c r="A761" s="15" t="n"/>
      <c r="B761" s="15" t="n"/>
      <c r="C761" s="15" t="n"/>
      <c r="D761" s="15" t="n"/>
      <c r="E761" s="15" t="n"/>
      <c r="F761" s="15" t="n"/>
      <c r="G761" s="15" t="n"/>
      <c r="H761" s="15" t="n"/>
      <c r="I761" s="15" t="n"/>
      <c r="J761" s="15" t="n"/>
      <c r="K761" s="15" t="n"/>
    </row>
    <row r="762">
      <c r="A762" s="15" t="n"/>
      <c r="B762" s="15" t="n"/>
      <c r="C762" s="15" t="n"/>
      <c r="D762" s="15" t="n"/>
      <c r="E762" s="15" t="n"/>
      <c r="F762" s="15" t="n"/>
      <c r="G762" s="15" t="n"/>
      <c r="H762" s="15" t="n"/>
      <c r="I762" s="15" t="n"/>
      <c r="J762" s="15" t="n"/>
      <c r="K762" s="15" t="n"/>
    </row>
    <row r="763">
      <c r="A763" s="15" t="n"/>
      <c r="B763" s="15" t="n"/>
      <c r="C763" s="15" t="n"/>
      <c r="D763" s="15" t="n"/>
      <c r="E763" s="15" t="n"/>
      <c r="F763" s="15" t="n"/>
      <c r="G763" s="15" t="n"/>
      <c r="H763" s="15" t="n"/>
      <c r="I763" s="15" t="n"/>
      <c r="J763" s="15" t="n"/>
      <c r="K763" s="15" t="n"/>
    </row>
    <row r="764">
      <c r="A764" s="15" t="n"/>
      <c r="B764" s="15" t="n"/>
      <c r="C764" s="15" t="n"/>
      <c r="D764" s="15" t="n"/>
      <c r="E764" s="15" t="n"/>
      <c r="F764" s="15" t="n"/>
      <c r="G764" s="15" t="n"/>
      <c r="H764" s="15" t="n"/>
      <c r="I764" s="15" t="n"/>
      <c r="J764" s="15" t="n"/>
      <c r="K764" s="15" t="n"/>
    </row>
    <row r="765">
      <c r="A765" s="15" t="n"/>
      <c r="B765" s="15" t="n"/>
      <c r="C765" s="15" t="n"/>
      <c r="D765" s="15" t="n"/>
      <c r="E765" s="15" t="n"/>
      <c r="F765" s="15" t="n"/>
      <c r="G765" s="15" t="n"/>
      <c r="H765" s="15" t="n"/>
      <c r="I765" s="15" t="n"/>
      <c r="J765" s="15" t="n"/>
      <c r="K765" s="15" t="n"/>
    </row>
    <row r="766">
      <c r="A766" s="15" t="n"/>
      <c r="B766" s="15" t="n"/>
      <c r="C766" s="15" t="n"/>
      <c r="D766" s="15" t="n"/>
      <c r="E766" s="15" t="n"/>
      <c r="F766" s="15" t="n"/>
      <c r="G766" s="15" t="n"/>
      <c r="H766" s="15" t="n"/>
      <c r="I766" s="15" t="n"/>
      <c r="J766" s="15" t="n"/>
      <c r="K766" s="15" t="n"/>
    </row>
    <row r="767">
      <c r="A767" s="15" t="n"/>
      <c r="B767" s="15" t="n"/>
      <c r="C767" s="15" t="n"/>
      <c r="D767" s="15" t="n"/>
      <c r="E767" s="15" t="n"/>
      <c r="F767" s="15" t="n"/>
      <c r="G767" s="15" t="n"/>
      <c r="H767" s="15" t="n"/>
      <c r="I767" s="15" t="n"/>
      <c r="J767" s="15" t="n"/>
      <c r="K767" s="15" t="n"/>
    </row>
    <row r="768">
      <c r="A768" s="15" t="n"/>
      <c r="B768" s="15" t="n"/>
      <c r="C768" s="15" t="n"/>
      <c r="D768" s="15" t="n"/>
      <c r="E768" s="15" t="n"/>
      <c r="F768" s="15" t="n"/>
      <c r="G768" s="15" t="n"/>
      <c r="H768" s="15" t="n"/>
      <c r="I768" s="15" t="n"/>
      <c r="J768" s="15" t="n"/>
      <c r="K768" s="15" t="n"/>
    </row>
    <row r="769">
      <c r="A769" s="15" t="n"/>
      <c r="B769" s="15" t="n"/>
      <c r="C769" s="15" t="n"/>
      <c r="D769" s="15" t="n"/>
      <c r="E769" s="15" t="n"/>
      <c r="F769" s="15" t="n"/>
      <c r="G769" s="15" t="n"/>
      <c r="H769" s="15" t="n"/>
      <c r="I769" s="15" t="n"/>
      <c r="J769" s="15" t="n"/>
      <c r="K769" s="15" t="n"/>
    </row>
    <row r="770">
      <c r="A770" s="15" t="n"/>
      <c r="B770" s="15" t="n"/>
      <c r="C770" s="15" t="n"/>
      <c r="D770" s="15" t="n"/>
      <c r="E770" s="15" t="n"/>
      <c r="F770" s="15" t="n"/>
      <c r="G770" s="15" t="n"/>
      <c r="H770" s="15" t="n"/>
      <c r="I770" s="15" t="n"/>
      <c r="J770" s="15" t="n"/>
      <c r="K770" s="15" t="n"/>
    </row>
    <row r="771">
      <c r="A771" s="15" t="n"/>
      <c r="B771" s="15" t="n"/>
      <c r="C771" s="15" t="n"/>
      <c r="D771" s="15" t="n"/>
      <c r="E771" s="15" t="n"/>
      <c r="F771" s="15" t="n"/>
      <c r="G771" s="15" t="n"/>
      <c r="H771" s="15" t="n"/>
      <c r="I771" s="15" t="n"/>
      <c r="J771" s="15" t="n"/>
      <c r="K771" s="15" t="n"/>
    </row>
    <row r="772">
      <c r="A772" s="15" t="n"/>
      <c r="B772" s="15" t="n"/>
      <c r="C772" s="15" t="n"/>
      <c r="D772" s="15" t="n"/>
      <c r="E772" s="15" t="n"/>
      <c r="F772" s="15" t="n"/>
      <c r="G772" s="15" t="n"/>
      <c r="H772" s="15" t="n"/>
      <c r="I772" s="15" t="n"/>
      <c r="J772" s="15" t="n"/>
      <c r="K772" s="15" t="n"/>
    </row>
    <row r="773">
      <c r="A773" s="15" t="n"/>
      <c r="B773" s="15" t="n"/>
      <c r="C773" s="15" t="n"/>
      <c r="D773" s="15" t="n"/>
      <c r="E773" s="15" t="n"/>
      <c r="F773" s="15" t="n"/>
      <c r="G773" s="15" t="n"/>
      <c r="H773" s="15" t="n"/>
      <c r="I773" s="15" t="n"/>
      <c r="J773" s="15" t="n"/>
      <c r="K773" s="15" t="n"/>
    </row>
    <row r="774">
      <c r="A774" s="15" t="n"/>
      <c r="B774" s="15" t="n"/>
      <c r="C774" s="15" t="n"/>
      <c r="D774" s="15" t="n"/>
      <c r="E774" s="15" t="n"/>
      <c r="F774" s="15" t="n"/>
      <c r="G774" s="15" t="n"/>
      <c r="H774" s="15" t="n"/>
      <c r="I774" s="15" t="n"/>
      <c r="J774" s="15" t="n"/>
      <c r="K774" s="15" t="n"/>
    </row>
    <row r="775">
      <c r="A775" s="15" t="n"/>
      <c r="B775" s="15" t="n"/>
      <c r="C775" s="15" t="n"/>
      <c r="D775" s="15" t="n"/>
      <c r="E775" s="15" t="n"/>
      <c r="F775" s="15" t="n"/>
      <c r="G775" s="15" t="n"/>
      <c r="H775" s="15" t="n"/>
      <c r="I775" s="15" t="n"/>
      <c r="J775" s="15" t="n"/>
      <c r="K775" s="15" t="n"/>
    </row>
    <row r="776">
      <c r="A776" s="15" t="n"/>
      <c r="B776" s="15" t="n"/>
      <c r="C776" s="15" t="n"/>
      <c r="D776" s="15" t="n"/>
      <c r="E776" s="15" t="n"/>
      <c r="F776" s="15" t="n"/>
      <c r="G776" s="15" t="n"/>
      <c r="H776" s="15" t="n"/>
      <c r="I776" s="15" t="n"/>
      <c r="J776" s="15" t="n"/>
      <c r="K776" s="15" t="n"/>
    </row>
    <row r="777">
      <c r="A777" s="15" t="n"/>
      <c r="B777" s="15" t="n"/>
      <c r="C777" s="15" t="n"/>
      <c r="D777" s="15" t="n"/>
      <c r="E777" s="15" t="n"/>
      <c r="F777" s="15" t="n"/>
      <c r="G777" s="15" t="n"/>
      <c r="H777" s="15" t="n"/>
      <c r="I777" s="15" t="n"/>
      <c r="J777" s="15" t="n"/>
      <c r="K777" s="15" t="n"/>
    </row>
    <row r="778">
      <c r="A778" s="15" t="n"/>
      <c r="B778" s="15" t="n"/>
      <c r="C778" s="15" t="n"/>
      <c r="D778" s="15" t="n"/>
      <c r="E778" s="15" t="n"/>
      <c r="F778" s="15" t="n"/>
      <c r="G778" s="15" t="n"/>
      <c r="H778" s="15" t="n"/>
      <c r="I778" s="15" t="n"/>
      <c r="J778" s="15" t="n"/>
      <c r="K778" s="15" t="n"/>
    </row>
    <row r="779">
      <c r="A779" s="15" t="n"/>
      <c r="B779" s="15" t="n"/>
      <c r="C779" s="15" t="n"/>
      <c r="D779" s="15" t="n"/>
      <c r="E779" s="15" t="n"/>
      <c r="F779" s="15" t="n"/>
      <c r="G779" s="15" t="n"/>
      <c r="H779" s="15" t="n"/>
      <c r="I779" s="15" t="n"/>
      <c r="J779" s="15" t="n"/>
      <c r="K779" s="15" t="n"/>
    </row>
    <row r="780">
      <c r="A780" s="15" t="n"/>
      <c r="B780" s="15" t="n"/>
      <c r="C780" s="15" t="n"/>
      <c r="D780" s="15" t="n"/>
      <c r="E780" s="15" t="n"/>
      <c r="F780" s="15" t="n"/>
      <c r="G780" s="15" t="n"/>
      <c r="H780" s="15" t="n"/>
      <c r="I780" s="15" t="n"/>
      <c r="J780" s="15" t="n"/>
      <c r="K780" s="15" t="n"/>
    </row>
    <row r="781">
      <c r="A781" s="15" t="n"/>
      <c r="B781" s="15" t="n"/>
      <c r="C781" s="15" t="n"/>
      <c r="D781" s="15" t="n"/>
      <c r="E781" s="15" t="n"/>
      <c r="F781" s="15" t="n"/>
      <c r="G781" s="15" t="n"/>
      <c r="H781" s="15" t="n"/>
      <c r="I781" s="15" t="n"/>
      <c r="J781" s="15" t="n"/>
      <c r="K781" s="15" t="n"/>
    </row>
    <row r="782">
      <c r="A782" s="15" t="n"/>
      <c r="B782" s="15" t="n"/>
      <c r="C782" s="15" t="n"/>
      <c r="D782" s="15" t="n"/>
      <c r="E782" s="15" t="n"/>
      <c r="F782" s="15" t="n"/>
      <c r="G782" s="15" t="n"/>
      <c r="H782" s="15" t="n"/>
      <c r="I782" s="15" t="n"/>
      <c r="J782" s="15" t="n"/>
      <c r="K782" s="15" t="n"/>
    </row>
    <row r="783">
      <c r="A783" s="15" t="n"/>
      <c r="B783" s="15" t="n"/>
      <c r="C783" s="15" t="n"/>
      <c r="D783" s="15" t="n"/>
      <c r="E783" s="15" t="n"/>
      <c r="F783" s="15" t="n"/>
      <c r="G783" s="15" t="n"/>
      <c r="H783" s="15" t="n"/>
      <c r="I783" s="15" t="n"/>
      <c r="J783" s="15" t="n"/>
      <c r="K783" s="15" t="n"/>
    </row>
    <row r="784">
      <c r="A784" s="15" t="n"/>
      <c r="B784" s="15" t="n"/>
      <c r="C784" s="15" t="n"/>
      <c r="D784" s="15" t="n"/>
      <c r="E784" s="15" t="n"/>
      <c r="F784" s="15" t="n"/>
      <c r="G784" s="15" t="n"/>
      <c r="H784" s="15" t="n"/>
      <c r="I784" s="15" t="n"/>
      <c r="J784" s="15" t="n"/>
      <c r="K784" s="15" t="n"/>
    </row>
    <row r="785">
      <c r="A785" s="15" t="n"/>
      <c r="B785" s="15" t="n"/>
      <c r="C785" s="15" t="n"/>
      <c r="D785" s="15" t="n"/>
      <c r="E785" s="15" t="n"/>
      <c r="F785" s="15" t="n"/>
      <c r="G785" s="15" t="n"/>
      <c r="H785" s="15" t="n"/>
      <c r="I785" s="15" t="n"/>
      <c r="J785" s="15" t="n"/>
      <c r="K785" s="15" t="n"/>
    </row>
    <row r="786">
      <c r="A786" s="15" t="n"/>
      <c r="B786" s="15" t="n"/>
      <c r="C786" s="15" t="n"/>
      <c r="D786" s="15" t="n"/>
      <c r="E786" s="15" t="n"/>
      <c r="F786" s="15" t="n"/>
      <c r="G786" s="15" t="n"/>
      <c r="H786" s="15" t="n"/>
      <c r="I786" s="15" t="n"/>
      <c r="J786" s="15" t="n"/>
      <c r="K786" s="15" t="n"/>
    </row>
    <row r="787">
      <c r="A787" s="15" t="n"/>
      <c r="B787" s="15" t="n"/>
      <c r="C787" s="15" t="n"/>
      <c r="D787" s="15" t="n"/>
      <c r="E787" s="15" t="n"/>
      <c r="F787" s="15" t="n"/>
      <c r="G787" s="15" t="n"/>
      <c r="H787" s="15" t="n"/>
      <c r="I787" s="15" t="n"/>
      <c r="J787" s="15" t="n"/>
      <c r="K787" s="15" t="n"/>
    </row>
    <row r="788">
      <c r="A788" s="15" t="n"/>
      <c r="B788" s="15" t="n"/>
      <c r="C788" s="15" t="n"/>
      <c r="D788" s="15" t="n"/>
      <c r="E788" s="15" t="n"/>
      <c r="F788" s="15" t="n"/>
      <c r="G788" s="15" t="n"/>
      <c r="H788" s="15" t="n"/>
      <c r="I788" s="15" t="n"/>
      <c r="J788" s="15" t="n"/>
      <c r="K788" s="15" t="n"/>
    </row>
    <row r="789">
      <c r="A789" s="15" t="n"/>
      <c r="B789" s="15" t="n"/>
      <c r="C789" s="15" t="n"/>
      <c r="D789" s="15" t="n"/>
      <c r="E789" s="15" t="n"/>
      <c r="F789" s="15" t="n"/>
      <c r="G789" s="15" t="n"/>
      <c r="H789" s="15" t="n"/>
      <c r="I789" s="15" t="n"/>
      <c r="J789" s="15" t="n"/>
      <c r="K789" s="15" t="n"/>
    </row>
    <row r="790">
      <c r="A790" s="15" t="n"/>
      <c r="B790" s="15" t="n"/>
      <c r="C790" s="15" t="n"/>
      <c r="D790" s="15" t="n"/>
      <c r="E790" s="15" t="n"/>
      <c r="F790" s="15" t="n"/>
      <c r="G790" s="15" t="n"/>
      <c r="H790" s="15" t="n"/>
      <c r="I790" s="15" t="n"/>
      <c r="J790" s="15" t="n"/>
      <c r="K790" s="15" t="n"/>
    </row>
    <row r="791">
      <c r="A791" s="15" t="n"/>
      <c r="B791" s="15" t="n"/>
      <c r="C791" s="15" t="n"/>
      <c r="D791" s="15" t="n"/>
      <c r="E791" s="15" t="n"/>
      <c r="F791" s="15" t="n"/>
      <c r="G791" s="15" t="n"/>
      <c r="H791" s="15" t="n"/>
      <c r="I791" s="15" t="n"/>
      <c r="J791" s="15" t="n"/>
      <c r="K791" s="15" t="n"/>
    </row>
    <row r="792">
      <c r="A792" s="15" t="n"/>
      <c r="B792" s="15" t="n"/>
      <c r="C792" s="15" t="n"/>
      <c r="D792" s="15" t="n"/>
      <c r="E792" s="15" t="n"/>
      <c r="F792" s="15" t="n"/>
      <c r="G792" s="15" t="n"/>
      <c r="H792" s="15" t="n"/>
      <c r="I792" s="15" t="n"/>
      <c r="J792" s="15" t="n"/>
      <c r="K792" s="15" t="n"/>
    </row>
    <row r="793">
      <c r="A793" s="15" t="n"/>
      <c r="B793" s="15" t="n"/>
      <c r="C793" s="15" t="n"/>
      <c r="D793" s="15" t="n"/>
      <c r="E793" s="15" t="n"/>
      <c r="F793" s="15" t="n"/>
      <c r="G793" s="15" t="n"/>
      <c r="H793" s="15" t="n"/>
      <c r="I793" s="15" t="n"/>
      <c r="J793" s="15" t="n"/>
      <c r="K793" s="15" t="n"/>
    </row>
    <row r="794">
      <c r="A794" s="15" t="n"/>
      <c r="B794" s="15" t="n"/>
      <c r="C794" s="15" t="n"/>
      <c r="D794" s="15" t="n"/>
      <c r="E794" s="15" t="n"/>
      <c r="F794" s="15" t="n"/>
      <c r="G794" s="15" t="n"/>
      <c r="H794" s="15" t="n"/>
      <c r="I794" s="15" t="n"/>
      <c r="J794" s="15" t="n"/>
      <c r="K794" s="15" t="n"/>
    </row>
    <row r="795">
      <c r="A795" s="15" t="n"/>
      <c r="B795" s="15" t="n"/>
      <c r="C795" s="15" t="n"/>
      <c r="D795" s="15" t="n"/>
      <c r="E795" s="15" t="n"/>
      <c r="F795" s="15" t="n"/>
      <c r="G795" s="15" t="n"/>
      <c r="H795" s="15" t="n"/>
      <c r="I795" s="15" t="n"/>
      <c r="J795" s="15" t="n"/>
      <c r="K795" s="15" t="n"/>
    </row>
    <row r="796">
      <c r="A796" s="15" t="n"/>
      <c r="B796" s="15" t="n"/>
      <c r="C796" s="15" t="n"/>
      <c r="D796" s="15" t="n"/>
      <c r="E796" s="15" t="n"/>
      <c r="F796" s="15" t="n"/>
      <c r="G796" s="15" t="n"/>
      <c r="H796" s="15" t="n"/>
      <c r="I796" s="15" t="n"/>
      <c r="J796" s="15" t="n"/>
      <c r="K796" s="15" t="n"/>
    </row>
    <row r="797">
      <c r="A797" s="15" t="n"/>
      <c r="B797" s="15" t="n"/>
      <c r="C797" s="15" t="n"/>
      <c r="D797" s="15" t="n"/>
      <c r="E797" s="15" t="n"/>
      <c r="F797" s="15" t="n"/>
      <c r="G797" s="15" t="n"/>
      <c r="H797" s="15" t="n"/>
      <c r="I797" s="15" t="n"/>
      <c r="J797" s="15" t="n"/>
      <c r="K797" s="15" t="n"/>
    </row>
    <row r="798">
      <c r="A798" s="15" t="n"/>
      <c r="B798" s="15" t="n"/>
      <c r="C798" s="15" t="n"/>
      <c r="D798" s="15" t="n"/>
      <c r="E798" s="15" t="n"/>
      <c r="F798" s="15" t="n"/>
      <c r="G798" s="15" t="n"/>
      <c r="H798" s="15" t="n"/>
      <c r="I798" s="15" t="n"/>
      <c r="J798" s="15" t="n"/>
      <c r="K798" s="15" t="n"/>
    </row>
    <row r="799">
      <c r="A799" s="15" t="n"/>
      <c r="B799" s="15" t="n"/>
      <c r="C799" s="15" t="n"/>
      <c r="D799" s="15" t="n"/>
      <c r="E799" s="15" t="n"/>
      <c r="F799" s="15" t="n"/>
      <c r="G799" s="15" t="n"/>
      <c r="H799" s="15" t="n"/>
      <c r="I799" s="15" t="n"/>
      <c r="J799" s="15" t="n"/>
      <c r="K799" s="15" t="n"/>
    </row>
    <row r="800">
      <c r="A800" s="15" t="n"/>
      <c r="B800" s="15" t="n"/>
      <c r="C800" s="15" t="n"/>
      <c r="D800" s="15" t="n"/>
      <c r="E800" s="15" t="n"/>
      <c r="F800" s="15" t="n"/>
      <c r="G800" s="15" t="n"/>
      <c r="H800" s="15" t="n"/>
      <c r="I800" s="15" t="n"/>
      <c r="J800" s="15" t="n"/>
      <c r="K800" s="15" t="n"/>
    </row>
    <row r="801">
      <c r="A801" s="15" t="n"/>
      <c r="B801" s="15" t="n"/>
      <c r="C801" s="15" t="n"/>
      <c r="D801" s="15" t="n"/>
      <c r="E801" s="15" t="n"/>
      <c r="F801" s="15" t="n"/>
      <c r="G801" s="15" t="n"/>
      <c r="H801" s="15" t="n"/>
      <c r="I801" s="15" t="n"/>
      <c r="J801" s="15" t="n"/>
      <c r="K801" s="15" t="n"/>
    </row>
    <row r="802">
      <c r="A802" s="15" t="n"/>
      <c r="B802" s="15" t="n"/>
      <c r="C802" s="15" t="n"/>
      <c r="D802" s="15" t="n"/>
      <c r="E802" s="15" t="n"/>
      <c r="F802" s="15" t="n"/>
      <c r="G802" s="15" t="n"/>
      <c r="H802" s="15" t="n"/>
      <c r="I802" s="15" t="n"/>
      <c r="J802" s="15" t="n"/>
      <c r="K802" s="15" t="n"/>
    </row>
    <row r="803">
      <c r="A803" s="15" t="n"/>
      <c r="B803" s="15" t="n"/>
      <c r="C803" s="15" t="n"/>
      <c r="D803" s="15" t="n"/>
      <c r="E803" s="15" t="n"/>
      <c r="F803" s="15" t="n"/>
      <c r="G803" s="15" t="n"/>
      <c r="H803" s="15" t="n"/>
      <c r="I803" s="15" t="n"/>
      <c r="J803" s="15" t="n"/>
      <c r="K803" s="15" t="n"/>
    </row>
    <row r="804">
      <c r="A804" s="15" t="n"/>
      <c r="B804" s="15" t="n"/>
      <c r="C804" s="15" t="n"/>
      <c r="D804" s="15" t="n"/>
      <c r="E804" s="15" t="n"/>
      <c r="F804" s="15" t="n"/>
      <c r="G804" s="15" t="n"/>
      <c r="H804" s="15" t="n"/>
      <c r="I804" s="15" t="n"/>
      <c r="J804" s="15" t="n"/>
      <c r="K804" s="15" t="n"/>
    </row>
    <row r="805">
      <c r="A805" s="15" t="n"/>
      <c r="B805" s="15" t="n"/>
      <c r="C805" s="15" t="n"/>
      <c r="D805" s="15" t="n"/>
      <c r="E805" s="15" t="n"/>
      <c r="F805" s="15" t="n"/>
      <c r="G805" s="15" t="n"/>
      <c r="H805" s="15" t="n"/>
      <c r="I805" s="15" t="n"/>
      <c r="J805" s="15" t="n"/>
      <c r="K805" s="15" t="n"/>
    </row>
    <row r="806">
      <c r="A806" s="15" t="n"/>
      <c r="B806" s="15" t="n"/>
      <c r="C806" s="15" t="n"/>
      <c r="D806" s="15" t="n"/>
      <c r="E806" s="15" t="n"/>
      <c r="F806" s="15" t="n"/>
      <c r="G806" s="15" t="n"/>
      <c r="H806" s="15" t="n"/>
      <c r="I806" s="15" t="n"/>
      <c r="J806" s="15" t="n"/>
      <c r="K806" s="15" t="n"/>
    </row>
    <row r="807">
      <c r="A807" s="15" t="n"/>
      <c r="B807" s="15" t="n"/>
      <c r="C807" s="15" t="n"/>
      <c r="D807" s="15" t="n"/>
      <c r="E807" s="15" t="n"/>
      <c r="F807" s="15" t="n"/>
      <c r="G807" s="15" t="n"/>
      <c r="H807" s="15" t="n"/>
      <c r="I807" s="15" t="n"/>
      <c r="J807" s="15" t="n"/>
      <c r="K807" s="15" t="n"/>
    </row>
    <row r="808">
      <c r="A808" s="15" t="n"/>
      <c r="B808" s="15" t="n"/>
      <c r="C808" s="15" t="n"/>
      <c r="D808" s="15" t="n"/>
      <c r="E808" s="15" t="n"/>
      <c r="F808" s="15" t="n"/>
      <c r="G808" s="15" t="n"/>
      <c r="H808" s="15" t="n"/>
      <c r="I808" s="15" t="n"/>
      <c r="J808" s="15" t="n"/>
      <c r="K808" s="15" t="n"/>
    </row>
    <row r="809">
      <c r="A809" s="15" t="n"/>
      <c r="B809" s="15" t="n"/>
      <c r="C809" s="15" t="n"/>
      <c r="D809" s="15" t="n"/>
      <c r="E809" s="15" t="n"/>
      <c r="F809" s="15" t="n"/>
      <c r="G809" s="15" t="n"/>
      <c r="H809" s="15" t="n"/>
      <c r="I809" s="15" t="n"/>
      <c r="J809" s="15" t="n"/>
      <c r="K809" s="15" t="n"/>
    </row>
    <row r="810">
      <c r="A810" s="15" t="n"/>
      <c r="B810" s="15" t="n"/>
      <c r="C810" s="15" t="n"/>
      <c r="D810" s="15" t="n"/>
      <c r="E810" s="15" t="n"/>
      <c r="F810" s="15" t="n"/>
      <c r="G810" s="15" t="n"/>
      <c r="H810" s="15" t="n"/>
      <c r="I810" s="15" t="n"/>
      <c r="J810" s="15" t="n"/>
      <c r="K810" s="15" t="n"/>
    </row>
    <row r="811">
      <c r="A811" s="15" t="n"/>
      <c r="B811" s="15" t="n"/>
      <c r="C811" s="15" t="n"/>
      <c r="D811" s="15" t="n"/>
      <c r="E811" s="15" t="n"/>
      <c r="F811" s="15" t="n"/>
      <c r="G811" s="15" t="n"/>
      <c r="H811" s="15" t="n"/>
      <c r="I811" s="15" t="n"/>
      <c r="J811" s="15" t="n"/>
      <c r="K811" s="15" t="n"/>
    </row>
    <row r="812">
      <c r="A812" s="15" t="n"/>
      <c r="B812" s="15" t="n"/>
      <c r="C812" s="15" t="n"/>
      <c r="D812" s="15" t="n"/>
      <c r="E812" s="15" t="n"/>
      <c r="F812" s="15" t="n"/>
      <c r="G812" s="15" t="n"/>
      <c r="H812" s="15" t="n"/>
      <c r="I812" s="15" t="n"/>
      <c r="J812" s="15" t="n"/>
      <c r="K812" s="15" t="n"/>
    </row>
    <row r="813">
      <c r="A813" s="15" t="n"/>
      <c r="B813" s="15" t="n"/>
      <c r="C813" s="15" t="n"/>
      <c r="D813" s="15" t="n"/>
      <c r="E813" s="15" t="n"/>
      <c r="F813" s="15" t="n"/>
      <c r="G813" s="15" t="n"/>
      <c r="H813" s="15" t="n"/>
      <c r="I813" s="15" t="n"/>
      <c r="J813" s="15" t="n"/>
      <c r="K813" s="15" t="n"/>
    </row>
    <row r="814">
      <c r="A814" s="15" t="n"/>
      <c r="B814" s="15" t="n"/>
      <c r="C814" s="15" t="n"/>
      <c r="D814" s="15" t="n"/>
      <c r="E814" s="15" t="n"/>
      <c r="F814" s="15" t="n"/>
      <c r="G814" s="15" t="n"/>
      <c r="H814" s="15" t="n"/>
      <c r="I814" s="15" t="n"/>
      <c r="J814" s="15" t="n"/>
      <c r="K814" s="15" t="n"/>
    </row>
    <row r="815">
      <c r="A815" s="15" t="n"/>
      <c r="B815" s="15" t="n"/>
      <c r="C815" s="15" t="n"/>
      <c r="D815" s="15" t="n"/>
      <c r="E815" s="15" t="n"/>
      <c r="F815" s="15" t="n"/>
      <c r="G815" s="15" t="n"/>
      <c r="H815" s="15" t="n"/>
      <c r="I815" s="15" t="n"/>
      <c r="J815" s="15" t="n"/>
      <c r="K815" s="15" t="n"/>
    </row>
    <row r="816">
      <c r="A816" s="15" t="n"/>
      <c r="B816" s="15" t="n"/>
      <c r="C816" s="15" t="n"/>
      <c r="D816" s="15" t="n"/>
      <c r="E816" s="15" t="n"/>
      <c r="F816" s="15" t="n"/>
      <c r="G816" s="15" t="n"/>
      <c r="H816" s="15" t="n"/>
      <c r="I816" s="15" t="n"/>
      <c r="J816" s="15" t="n"/>
      <c r="K816" s="15" t="n"/>
    </row>
    <row r="817">
      <c r="A817" s="15" t="n"/>
      <c r="B817" s="15" t="n"/>
      <c r="C817" s="15" t="n"/>
      <c r="D817" s="15" t="n"/>
      <c r="E817" s="15" t="n"/>
      <c r="F817" s="15" t="n"/>
      <c r="G817" s="15" t="n"/>
      <c r="H817" s="15" t="n"/>
      <c r="I817" s="15" t="n"/>
      <c r="J817" s="15" t="n"/>
      <c r="K817" s="15" t="n"/>
    </row>
    <row r="818">
      <c r="A818" s="15" t="n"/>
      <c r="B818" s="15" t="n"/>
      <c r="C818" s="15" t="n"/>
      <c r="D818" s="15" t="n"/>
      <c r="E818" s="15" t="n"/>
      <c r="F818" s="15" t="n"/>
      <c r="G818" s="15" t="n"/>
      <c r="H818" s="15" t="n"/>
      <c r="I818" s="15" t="n"/>
      <c r="J818" s="15" t="n"/>
      <c r="K818" s="15" t="n"/>
    </row>
    <row r="819">
      <c r="A819" s="15" t="n"/>
      <c r="B819" s="15" t="n"/>
      <c r="C819" s="15" t="n"/>
      <c r="D819" s="15" t="n"/>
      <c r="E819" s="15" t="n"/>
      <c r="F819" s="15" t="n"/>
      <c r="G819" s="15" t="n"/>
      <c r="H819" s="15" t="n"/>
      <c r="I819" s="15" t="n"/>
      <c r="J819" s="15" t="n"/>
      <c r="K819" s="15" t="n"/>
    </row>
    <row r="820">
      <c r="A820" s="15" t="n"/>
      <c r="B820" s="15" t="n"/>
      <c r="C820" s="15" t="n"/>
      <c r="D820" s="15" t="n"/>
      <c r="E820" s="15" t="n"/>
      <c r="F820" s="15" t="n"/>
      <c r="G820" s="15" t="n"/>
      <c r="H820" s="15" t="n"/>
      <c r="I820" s="15" t="n"/>
      <c r="J820" s="15" t="n"/>
      <c r="K820" s="15" t="n"/>
    </row>
    <row r="821">
      <c r="A821" s="15" t="n"/>
      <c r="B821" s="15" t="n"/>
      <c r="C821" s="15" t="n"/>
      <c r="D821" s="15" t="n"/>
      <c r="E821" s="15" t="n"/>
      <c r="F821" s="15" t="n"/>
      <c r="G821" s="15" t="n"/>
      <c r="H821" s="15" t="n"/>
      <c r="I821" s="15" t="n"/>
      <c r="J821" s="15" t="n"/>
      <c r="K821" s="15" t="n"/>
    </row>
    <row r="822">
      <c r="A822" s="15" t="n"/>
      <c r="B822" s="15" t="n"/>
      <c r="C822" s="15" t="n"/>
      <c r="D822" s="15" t="n"/>
      <c r="E822" s="15" t="n"/>
      <c r="F822" s="15" t="n"/>
      <c r="G822" s="15" t="n"/>
      <c r="H822" s="15" t="n"/>
      <c r="I822" s="15" t="n"/>
      <c r="J822" s="15" t="n"/>
      <c r="K822" s="15" t="n"/>
    </row>
    <row r="823">
      <c r="A823" s="15" t="n"/>
      <c r="B823" s="15" t="n"/>
      <c r="C823" s="15" t="n"/>
      <c r="D823" s="15" t="n"/>
      <c r="E823" s="15" t="n"/>
      <c r="F823" s="15" t="n"/>
      <c r="G823" s="15" t="n"/>
      <c r="H823" s="15" t="n"/>
      <c r="I823" s="15" t="n"/>
      <c r="J823" s="15" t="n"/>
      <c r="K823" s="15" t="n"/>
    </row>
    <row r="824">
      <c r="A824" s="15" t="n"/>
      <c r="B824" s="15" t="n"/>
      <c r="C824" s="15" t="n"/>
      <c r="D824" s="15" t="n"/>
      <c r="E824" s="15" t="n"/>
      <c r="F824" s="15" t="n"/>
      <c r="G824" s="15" t="n"/>
      <c r="H824" s="15" t="n"/>
      <c r="I824" s="15" t="n"/>
      <c r="J824" s="15" t="n"/>
      <c r="K824" s="15" t="n"/>
    </row>
    <row r="825">
      <c r="A825" s="15" t="n"/>
      <c r="B825" s="15" t="n"/>
      <c r="C825" s="15" t="n"/>
      <c r="D825" s="15" t="n"/>
      <c r="E825" s="15" t="n"/>
      <c r="F825" s="15" t="n"/>
      <c r="G825" s="15" t="n"/>
      <c r="H825" s="15" t="n"/>
      <c r="I825" s="15" t="n"/>
      <c r="J825" s="15" t="n"/>
      <c r="K825" s="15" t="n"/>
    </row>
    <row r="826">
      <c r="A826" s="15" t="n"/>
      <c r="B826" s="15" t="n"/>
      <c r="C826" s="15" t="n"/>
      <c r="D826" s="15" t="n"/>
      <c r="E826" s="15" t="n"/>
      <c r="F826" s="15" t="n"/>
      <c r="G826" s="15" t="n"/>
      <c r="H826" s="15" t="n"/>
      <c r="I826" s="15" t="n"/>
      <c r="J826" s="15" t="n"/>
      <c r="K826" s="15" t="n"/>
    </row>
    <row r="827">
      <c r="A827" s="15" t="n"/>
      <c r="B827" s="15" t="n"/>
      <c r="C827" s="15" t="n"/>
      <c r="D827" s="15" t="n"/>
      <c r="E827" s="15" t="n"/>
      <c r="F827" s="15" t="n"/>
      <c r="G827" s="15" t="n"/>
      <c r="H827" s="15" t="n"/>
      <c r="I827" s="15" t="n"/>
      <c r="J827" s="15" t="n"/>
      <c r="K827" s="15" t="n"/>
    </row>
    <row r="828">
      <c r="A828" s="15" t="n"/>
      <c r="B828" s="15" t="n"/>
      <c r="C828" s="15" t="n"/>
      <c r="D828" s="15" t="n"/>
      <c r="E828" s="15" t="n"/>
      <c r="F828" s="15" t="n"/>
      <c r="G828" s="15" t="n"/>
      <c r="H828" s="15" t="n"/>
      <c r="I828" s="15" t="n"/>
      <c r="J828" s="15" t="n"/>
      <c r="K828" s="15" t="n"/>
    </row>
    <row r="829">
      <c r="A829" s="15" t="n"/>
      <c r="B829" s="15" t="n"/>
      <c r="C829" s="15" t="n"/>
      <c r="D829" s="15" t="n"/>
      <c r="E829" s="15" t="n"/>
      <c r="F829" s="15" t="n"/>
      <c r="G829" s="15" t="n"/>
      <c r="H829" s="15" t="n"/>
      <c r="I829" s="15" t="n"/>
      <c r="J829" s="15" t="n"/>
      <c r="K829" s="15" t="n"/>
    </row>
    <row r="830">
      <c r="A830" s="15" t="n"/>
      <c r="B830" s="15" t="n"/>
      <c r="C830" s="15" t="n"/>
      <c r="D830" s="15" t="n"/>
      <c r="E830" s="15" t="n"/>
      <c r="F830" s="15" t="n"/>
      <c r="G830" s="15" t="n"/>
      <c r="H830" s="15" t="n"/>
      <c r="I830" s="15" t="n"/>
      <c r="J830" s="15" t="n"/>
      <c r="K830" s="15" t="n"/>
    </row>
    <row r="831">
      <c r="A831" s="15" t="n"/>
      <c r="B831" s="15" t="n"/>
      <c r="C831" s="15" t="n"/>
      <c r="D831" s="15" t="n"/>
      <c r="E831" s="15" t="n"/>
      <c r="F831" s="15" t="n"/>
      <c r="G831" s="15" t="n"/>
      <c r="H831" s="15" t="n"/>
      <c r="I831" s="15" t="n"/>
      <c r="J831" s="15" t="n"/>
      <c r="K831" s="15" t="n"/>
    </row>
    <row r="832">
      <c r="A832" s="15" t="n"/>
      <c r="B832" s="15" t="n"/>
      <c r="C832" s="15" t="n"/>
      <c r="D832" s="15" t="n"/>
      <c r="E832" s="15" t="n"/>
      <c r="F832" s="15" t="n"/>
      <c r="G832" s="15" t="n"/>
      <c r="H832" s="15" t="n"/>
      <c r="I832" s="15" t="n"/>
      <c r="J832" s="15" t="n"/>
      <c r="K832" s="15" t="n"/>
    </row>
    <row r="833">
      <c r="A833" s="15" t="n"/>
      <c r="B833" s="15" t="n"/>
      <c r="C833" s="15" t="n"/>
      <c r="D833" s="15" t="n"/>
      <c r="E833" s="15" t="n"/>
      <c r="F833" s="15" t="n"/>
      <c r="G833" s="15" t="n"/>
      <c r="H833" s="15" t="n"/>
      <c r="I833" s="15" t="n"/>
      <c r="J833" s="15" t="n"/>
      <c r="K833" s="15" t="n"/>
    </row>
    <row r="834">
      <c r="A834" s="15" t="n"/>
      <c r="B834" s="15" t="n"/>
      <c r="C834" s="15" t="n"/>
      <c r="D834" s="15" t="n"/>
      <c r="E834" s="15" t="n"/>
      <c r="F834" s="15" t="n"/>
      <c r="G834" s="15" t="n"/>
      <c r="H834" s="15" t="n"/>
      <c r="I834" s="15" t="n"/>
      <c r="J834" s="15" t="n"/>
      <c r="K834" s="15" t="n"/>
    </row>
    <row r="835">
      <c r="A835" s="15" t="n"/>
      <c r="B835" s="15" t="n"/>
      <c r="C835" s="15" t="n"/>
      <c r="D835" s="15" t="n"/>
      <c r="E835" s="15" t="n"/>
      <c r="F835" s="15" t="n"/>
      <c r="G835" s="15" t="n"/>
      <c r="H835" s="15" t="n"/>
      <c r="I835" s="15" t="n"/>
      <c r="J835" s="15" t="n"/>
      <c r="K835" s="15" t="n"/>
    </row>
    <row r="836">
      <c r="A836" s="15" t="n"/>
      <c r="B836" s="15" t="n"/>
      <c r="C836" s="15" t="n"/>
      <c r="D836" s="15" t="n"/>
      <c r="E836" s="15" t="n"/>
      <c r="F836" s="15" t="n"/>
      <c r="G836" s="15" t="n"/>
      <c r="H836" s="15" t="n"/>
      <c r="I836" s="15" t="n"/>
      <c r="J836" s="15" t="n"/>
      <c r="K836" s="15" t="n"/>
    </row>
    <row r="837">
      <c r="A837" s="15" t="n"/>
      <c r="B837" s="15" t="n"/>
      <c r="C837" s="15" t="n"/>
      <c r="D837" s="15" t="n"/>
      <c r="E837" s="15" t="n"/>
      <c r="F837" s="15" t="n"/>
      <c r="G837" s="15" t="n"/>
      <c r="H837" s="15" t="n"/>
      <c r="I837" s="15" t="n"/>
      <c r="J837" s="15" t="n"/>
      <c r="K837" s="15" t="n"/>
    </row>
    <row r="838">
      <c r="A838" s="15" t="n"/>
      <c r="B838" s="15" t="n"/>
      <c r="C838" s="15" t="n"/>
      <c r="D838" s="15" t="n"/>
      <c r="E838" s="15" t="n"/>
      <c r="F838" s="15" t="n"/>
      <c r="G838" s="15" t="n"/>
      <c r="H838" s="15" t="n"/>
      <c r="I838" s="15" t="n"/>
      <c r="J838" s="15" t="n"/>
      <c r="K838" s="15" t="n"/>
    </row>
    <row r="839">
      <c r="A839" s="15" t="n"/>
      <c r="B839" s="15" t="n"/>
      <c r="C839" s="15" t="n"/>
      <c r="D839" s="15" t="n"/>
      <c r="E839" s="15" t="n"/>
      <c r="F839" s="15" t="n"/>
      <c r="G839" s="15" t="n"/>
      <c r="H839" s="15" t="n"/>
      <c r="I839" s="15" t="n"/>
      <c r="J839" s="15" t="n"/>
      <c r="K839" s="15" t="n"/>
    </row>
    <row r="840">
      <c r="A840" s="15" t="n"/>
      <c r="B840" s="15" t="n"/>
      <c r="C840" s="15" t="n"/>
      <c r="D840" s="15" t="n"/>
      <c r="E840" s="15" t="n"/>
      <c r="F840" s="15" t="n"/>
      <c r="G840" s="15" t="n"/>
      <c r="H840" s="15" t="n"/>
      <c r="I840" s="15" t="n"/>
      <c r="J840" s="15" t="n"/>
      <c r="K840" s="15" t="n"/>
    </row>
    <row r="841">
      <c r="A841" s="15" t="n"/>
      <c r="B841" s="15" t="n"/>
      <c r="C841" s="15" t="n"/>
      <c r="D841" s="15" t="n"/>
      <c r="E841" s="15" t="n"/>
      <c r="F841" s="15" t="n"/>
      <c r="G841" s="15" t="n"/>
      <c r="H841" s="15" t="n"/>
      <c r="I841" s="15" t="n"/>
      <c r="J841" s="15" t="n"/>
      <c r="K841" s="15" t="n"/>
    </row>
    <row r="842">
      <c r="A842" s="15" t="n"/>
      <c r="B842" s="15" t="n"/>
      <c r="C842" s="15" t="n"/>
      <c r="D842" s="15" t="n"/>
      <c r="E842" s="15" t="n"/>
      <c r="F842" s="15" t="n"/>
      <c r="G842" s="15" t="n"/>
      <c r="H842" s="15" t="n"/>
      <c r="I842" s="15" t="n"/>
      <c r="J842" s="15" t="n"/>
      <c r="K842" s="15" t="n"/>
    </row>
    <row r="843">
      <c r="A843" s="15" t="n"/>
      <c r="B843" s="15" t="n"/>
      <c r="C843" s="15" t="n"/>
      <c r="D843" s="15" t="n"/>
      <c r="E843" s="15" t="n"/>
      <c r="F843" s="15" t="n"/>
      <c r="G843" s="15" t="n"/>
      <c r="H843" s="15" t="n"/>
      <c r="I843" s="15" t="n"/>
      <c r="J843" s="15" t="n"/>
      <c r="K843" s="15" t="n"/>
    </row>
    <row r="844">
      <c r="A844" s="15" t="n"/>
      <c r="B844" s="15" t="n"/>
      <c r="C844" s="15" t="n"/>
      <c r="D844" s="15" t="n"/>
      <c r="E844" s="15" t="n"/>
      <c r="F844" s="15" t="n"/>
      <c r="G844" s="15" t="n"/>
      <c r="H844" s="15" t="n"/>
      <c r="I844" s="15" t="n"/>
      <c r="J844" s="15" t="n"/>
      <c r="K844" s="15" t="n"/>
    </row>
    <row r="845">
      <c r="A845" s="15" t="n"/>
      <c r="B845" s="15" t="n"/>
      <c r="C845" s="15" t="n"/>
      <c r="D845" s="15" t="n"/>
      <c r="E845" s="15" t="n"/>
      <c r="F845" s="15" t="n"/>
      <c r="G845" s="15" t="n"/>
      <c r="H845" s="15" t="n"/>
      <c r="I845" s="15" t="n"/>
      <c r="J845" s="15" t="n"/>
      <c r="K845" s="15" t="n"/>
    </row>
    <row r="846">
      <c r="A846" s="15" t="n"/>
      <c r="B846" s="15" t="n"/>
      <c r="C846" s="15" t="n"/>
      <c r="D846" s="15" t="n"/>
      <c r="E846" s="15" t="n"/>
      <c r="F846" s="15" t="n"/>
      <c r="G846" s="15" t="n"/>
      <c r="H846" s="15" t="n"/>
      <c r="I846" s="15" t="n"/>
      <c r="J846" s="15" t="n"/>
      <c r="K846" s="15" t="n"/>
    </row>
    <row r="847">
      <c r="A847" s="15" t="n"/>
      <c r="B847" s="15" t="n"/>
      <c r="C847" s="15" t="n"/>
      <c r="D847" s="15" t="n"/>
      <c r="E847" s="15" t="n"/>
      <c r="F847" s="15" t="n"/>
      <c r="G847" s="15" t="n"/>
      <c r="H847" s="15" t="n"/>
      <c r="I847" s="15" t="n"/>
      <c r="J847" s="15" t="n"/>
      <c r="K847" s="15" t="n"/>
    </row>
    <row r="848">
      <c r="A848" s="15" t="n"/>
      <c r="B848" s="15" t="n"/>
      <c r="C848" s="15" t="n"/>
      <c r="D848" s="15" t="n"/>
      <c r="E848" s="15" t="n"/>
      <c r="F848" s="15" t="n"/>
      <c r="G848" s="15" t="n"/>
      <c r="H848" s="15" t="n"/>
      <c r="I848" s="15" t="n"/>
      <c r="J848" s="15" t="n"/>
      <c r="K848" s="15" t="n"/>
    </row>
    <row r="849">
      <c r="A849" s="15" t="n"/>
      <c r="B849" s="15" t="n"/>
      <c r="C849" s="15" t="n"/>
      <c r="D849" s="15" t="n"/>
      <c r="E849" s="15" t="n"/>
      <c r="F849" s="15" t="n"/>
      <c r="G849" s="15" t="n"/>
      <c r="H849" s="15" t="n"/>
      <c r="I849" s="15" t="n"/>
      <c r="J849" s="15" t="n"/>
      <c r="K849" s="15" t="n"/>
    </row>
    <row r="850">
      <c r="A850" s="15" t="n"/>
      <c r="B850" s="15" t="n"/>
      <c r="C850" s="15" t="n"/>
      <c r="D850" s="15" t="n"/>
      <c r="E850" s="15" t="n"/>
      <c r="F850" s="15" t="n"/>
      <c r="G850" s="15" t="n"/>
      <c r="H850" s="15" t="n"/>
      <c r="I850" s="15" t="n"/>
      <c r="J850" s="15" t="n"/>
      <c r="K850" s="15" t="n"/>
    </row>
    <row r="851">
      <c r="A851" s="15" t="n"/>
      <c r="B851" s="15" t="n"/>
      <c r="C851" s="15" t="n"/>
      <c r="D851" s="15" t="n"/>
      <c r="E851" s="15" t="n"/>
      <c r="F851" s="15" t="n"/>
      <c r="G851" s="15" t="n"/>
      <c r="H851" s="15" t="n"/>
      <c r="I851" s="15" t="n"/>
      <c r="J851" s="15" t="n"/>
      <c r="K851" s="15" t="n"/>
    </row>
    <row r="852">
      <c r="A852" s="15" t="n"/>
      <c r="B852" s="15" t="n"/>
      <c r="C852" s="15" t="n"/>
      <c r="D852" s="15" t="n"/>
      <c r="E852" s="15" t="n"/>
      <c r="F852" s="15" t="n"/>
      <c r="G852" s="15" t="n"/>
      <c r="H852" s="15" t="n"/>
      <c r="I852" s="15" t="n"/>
      <c r="J852" s="15" t="n"/>
      <c r="K852" s="15" t="n"/>
    </row>
    <row r="853">
      <c r="A853" s="15" t="n"/>
      <c r="B853" s="15" t="n"/>
      <c r="C853" s="15" t="n"/>
      <c r="D853" s="15" t="n"/>
      <c r="E853" s="15" t="n"/>
      <c r="F853" s="15" t="n"/>
      <c r="G853" s="15" t="n"/>
      <c r="H853" s="15" t="n"/>
      <c r="I853" s="15" t="n"/>
      <c r="J853" s="15" t="n"/>
      <c r="K853" s="15" t="n"/>
    </row>
    <row r="854">
      <c r="A854" s="15" t="n"/>
      <c r="B854" s="15" t="n"/>
      <c r="C854" s="15" t="n"/>
      <c r="D854" s="15" t="n"/>
      <c r="E854" s="15" t="n"/>
      <c r="F854" s="15" t="n"/>
      <c r="G854" s="15" t="n"/>
      <c r="H854" s="15" t="n"/>
      <c r="I854" s="15" t="n"/>
      <c r="J854" s="15" t="n"/>
      <c r="K854" s="15" t="n"/>
    </row>
    <row r="855">
      <c r="A855" s="15" t="n"/>
      <c r="B855" s="15" t="n"/>
      <c r="C855" s="15" t="n"/>
      <c r="D855" s="15" t="n"/>
      <c r="E855" s="15" t="n"/>
      <c r="F855" s="15" t="n"/>
      <c r="G855" s="15" t="n"/>
      <c r="H855" s="15" t="n"/>
      <c r="I855" s="15" t="n"/>
      <c r="J855" s="15" t="n"/>
      <c r="K855" s="15" t="n"/>
    </row>
    <row r="856">
      <c r="A856" s="15" t="n"/>
      <c r="B856" s="15" t="n"/>
      <c r="C856" s="15" t="n"/>
      <c r="D856" s="15" t="n"/>
      <c r="E856" s="15" t="n"/>
      <c r="F856" s="15" t="n"/>
      <c r="G856" s="15" t="n"/>
      <c r="H856" s="15" t="n"/>
      <c r="I856" s="15" t="n"/>
      <c r="J856" s="15" t="n"/>
      <c r="K856" s="15" t="n"/>
    </row>
    <row r="857">
      <c r="A857" s="15" t="n"/>
      <c r="B857" s="15" t="n"/>
      <c r="C857" s="15" t="n"/>
      <c r="D857" s="15" t="n"/>
      <c r="E857" s="15" t="n"/>
      <c r="F857" s="15" t="n"/>
      <c r="G857" s="15" t="n"/>
      <c r="H857" s="15" t="n"/>
      <c r="I857" s="15" t="n"/>
      <c r="J857" s="15" t="n"/>
      <c r="K857" s="15" t="n"/>
    </row>
    <row r="858">
      <c r="A858" s="15" t="n"/>
      <c r="B858" s="15" t="n"/>
      <c r="C858" s="15" t="n"/>
      <c r="D858" s="15" t="n"/>
      <c r="E858" s="15" t="n"/>
      <c r="F858" s="15" t="n"/>
      <c r="G858" s="15" t="n"/>
      <c r="H858" s="15" t="n"/>
      <c r="I858" s="15" t="n"/>
      <c r="J858" s="15" t="n"/>
      <c r="K858" s="15" t="n"/>
    </row>
    <row r="859">
      <c r="A859" s="15" t="n"/>
      <c r="B859" s="15" t="n"/>
      <c r="C859" s="15" t="n"/>
      <c r="D859" s="15" t="n"/>
      <c r="E859" s="15" t="n"/>
      <c r="F859" s="15" t="n"/>
      <c r="G859" s="15" t="n"/>
      <c r="H859" s="15" t="n"/>
      <c r="I859" s="15" t="n"/>
      <c r="J859" s="15" t="n"/>
      <c r="K859" s="15" t="n"/>
    </row>
    <row r="860">
      <c r="A860" s="15" t="n"/>
      <c r="B860" s="15" t="n"/>
      <c r="C860" s="15" t="n"/>
      <c r="D860" s="15" t="n"/>
      <c r="E860" s="15" t="n"/>
      <c r="F860" s="15" t="n"/>
      <c r="G860" s="15" t="n"/>
      <c r="H860" s="15" t="n"/>
      <c r="I860" s="15" t="n"/>
      <c r="J860" s="15" t="n"/>
      <c r="K860" s="15" t="n"/>
    </row>
    <row r="861">
      <c r="A861" s="15" t="n"/>
      <c r="B861" s="15" t="n"/>
      <c r="C861" s="15" t="n"/>
      <c r="D861" s="15" t="n"/>
      <c r="E861" s="15" t="n"/>
      <c r="F861" s="15" t="n"/>
      <c r="G861" s="15" t="n"/>
      <c r="H861" s="15" t="n"/>
      <c r="I861" s="15" t="n"/>
      <c r="J861" s="15" t="n"/>
      <c r="K861" s="15" t="n"/>
    </row>
    <row r="862">
      <c r="A862" s="15" t="n"/>
      <c r="B862" s="15" t="n"/>
      <c r="C862" s="15" t="n"/>
      <c r="D862" s="15" t="n"/>
      <c r="E862" s="15" t="n"/>
      <c r="F862" s="15" t="n"/>
      <c r="G862" s="15" t="n"/>
      <c r="H862" s="15" t="n"/>
      <c r="I862" s="15" t="n"/>
      <c r="J862" s="15" t="n"/>
      <c r="K862" s="15" t="n"/>
    </row>
    <row r="863">
      <c r="A863" s="15" t="n"/>
      <c r="B863" s="15" t="n"/>
      <c r="C863" s="15" t="n"/>
      <c r="D863" s="15" t="n"/>
      <c r="E863" s="15" t="n"/>
      <c r="F863" s="15" t="n"/>
      <c r="G863" s="15" t="n"/>
      <c r="H863" s="15" t="n"/>
      <c r="I863" s="15" t="n"/>
      <c r="J863" s="15" t="n"/>
      <c r="K863" s="15" t="n"/>
    </row>
    <row r="864">
      <c r="A864" s="15" t="n"/>
      <c r="B864" s="15" t="n"/>
      <c r="C864" s="15" t="n"/>
      <c r="D864" s="15" t="n"/>
      <c r="E864" s="15" t="n"/>
      <c r="F864" s="15" t="n"/>
      <c r="G864" s="15" t="n"/>
      <c r="H864" s="15" t="n"/>
      <c r="I864" s="15" t="n"/>
      <c r="J864" s="15" t="n"/>
      <c r="K864" s="15" t="n"/>
    </row>
    <row r="865">
      <c r="A865" s="15" t="n"/>
      <c r="B865" s="15" t="n"/>
      <c r="C865" s="15" t="n"/>
      <c r="D865" s="15" t="n"/>
      <c r="E865" s="15" t="n"/>
      <c r="F865" s="15" t="n"/>
      <c r="G865" s="15" t="n"/>
      <c r="H865" s="15" t="n"/>
      <c r="I865" s="15" t="n"/>
      <c r="J865" s="15" t="n"/>
      <c r="K865" s="15" t="n"/>
    </row>
    <row r="866">
      <c r="A866" s="15" t="n"/>
      <c r="B866" s="15" t="n"/>
      <c r="C866" s="15" t="n"/>
      <c r="D866" s="15" t="n"/>
      <c r="E866" s="15" t="n"/>
      <c r="F866" s="15" t="n"/>
      <c r="G866" s="15" t="n"/>
      <c r="H866" s="15" t="n"/>
      <c r="I866" s="15" t="n"/>
      <c r="J866" s="15" t="n"/>
      <c r="K866" s="15" t="n"/>
    </row>
    <row r="867">
      <c r="A867" s="15" t="n"/>
      <c r="B867" s="15" t="n"/>
      <c r="C867" s="15" t="n"/>
      <c r="D867" s="15" t="n"/>
      <c r="E867" s="15" t="n"/>
      <c r="F867" s="15" t="n"/>
      <c r="G867" s="15" t="n"/>
      <c r="H867" s="15" t="n"/>
      <c r="I867" s="15" t="n"/>
      <c r="J867" s="15" t="n"/>
      <c r="K867" s="15" t="n"/>
    </row>
    <row r="868">
      <c r="A868" s="15" t="n"/>
      <c r="B868" s="15" t="n"/>
      <c r="C868" s="15" t="n"/>
      <c r="D868" s="15" t="n"/>
      <c r="E868" s="15" t="n"/>
      <c r="F868" s="15" t="n"/>
      <c r="G868" s="15" t="n"/>
      <c r="H868" s="15" t="n"/>
      <c r="I868" s="15" t="n"/>
      <c r="J868" s="15" t="n"/>
      <c r="K868" s="15" t="n"/>
    </row>
    <row r="869">
      <c r="A869" s="15" t="n"/>
      <c r="B869" s="15" t="n"/>
      <c r="C869" s="15" t="n"/>
      <c r="D869" s="15" t="n"/>
      <c r="E869" s="15" t="n"/>
      <c r="F869" s="15" t="n"/>
      <c r="G869" s="15" t="n"/>
      <c r="H869" s="15" t="n"/>
      <c r="I869" s="15" t="n"/>
      <c r="J869" s="15" t="n"/>
      <c r="K869" s="15" t="n"/>
    </row>
    <row r="870">
      <c r="A870" s="15" t="n"/>
      <c r="B870" s="15" t="n"/>
      <c r="C870" s="15" t="n"/>
      <c r="D870" s="15" t="n"/>
      <c r="E870" s="15" t="n"/>
      <c r="F870" s="15" t="n"/>
      <c r="G870" s="15" t="n"/>
      <c r="H870" s="15" t="n"/>
      <c r="I870" s="15" t="n"/>
      <c r="J870" s="15" t="n"/>
      <c r="K870" s="15" t="n"/>
    </row>
    <row r="871">
      <c r="A871" s="15" t="n"/>
      <c r="B871" s="15" t="n"/>
      <c r="C871" s="15" t="n"/>
      <c r="D871" s="15" t="n"/>
      <c r="E871" s="15" t="n"/>
      <c r="F871" s="15" t="n"/>
      <c r="G871" s="15" t="n"/>
      <c r="H871" s="15" t="n"/>
      <c r="I871" s="15" t="n"/>
      <c r="J871" s="15" t="n"/>
      <c r="K871" s="15" t="n"/>
    </row>
    <row r="872">
      <c r="A872" s="15" t="n"/>
      <c r="B872" s="15" t="n"/>
      <c r="C872" s="15" t="n"/>
      <c r="D872" s="15" t="n"/>
      <c r="E872" s="15" t="n"/>
      <c r="F872" s="15" t="n"/>
      <c r="G872" s="15" t="n"/>
      <c r="H872" s="15" t="n"/>
      <c r="I872" s="15" t="n"/>
      <c r="J872" s="15" t="n"/>
      <c r="K872" s="15" t="n"/>
    </row>
    <row r="873">
      <c r="A873" s="15" t="n"/>
      <c r="B873" s="15" t="n"/>
      <c r="C873" s="15" t="n"/>
      <c r="D873" s="15" t="n"/>
      <c r="E873" s="15" t="n"/>
      <c r="F873" s="15" t="n"/>
      <c r="G873" s="15" t="n"/>
      <c r="H873" s="15" t="n"/>
      <c r="I873" s="15" t="n"/>
      <c r="J873" s="15" t="n"/>
      <c r="K873" s="15" t="n"/>
    </row>
    <row r="874">
      <c r="A874" s="15" t="n"/>
      <c r="B874" s="15" t="n"/>
      <c r="C874" s="15" t="n"/>
      <c r="D874" s="15" t="n"/>
      <c r="E874" s="15" t="n"/>
      <c r="F874" s="15" t="n"/>
      <c r="G874" s="15" t="n"/>
      <c r="H874" s="15" t="n"/>
      <c r="I874" s="15" t="n"/>
      <c r="J874" s="15" t="n"/>
      <c r="K874" s="15" t="n"/>
    </row>
    <row r="875">
      <c r="A875" s="15" t="n"/>
      <c r="B875" s="15" t="n"/>
      <c r="C875" s="15" t="n"/>
      <c r="D875" s="15" t="n"/>
      <c r="E875" s="15" t="n"/>
      <c r="F875" s="15" t="n"/>
      <c r="G875" s="15" t="n"/>
      <c r="H875" s="15" t="n"/>
      <c r="I875" s="15" t="n"/>
      <c r="J875" s="15" t="n"/>
      <c r="K875" s="15" t="n"/>
    </row>
    <row r="876">
      <c r="A876" s="15" t="n"/>
      <c r="B876" s="15" t="n"/>
      <c r="C876" s="15" t="n"/>
      <c r="D876" s="15" t="n"/>
      <c r="E876" s="15" t="n"/>
      <c r="F876" s="15" t="n"/>
      <c r="G876" s="15" t="n"/>
      <c r="H876" s="15" t="n"/>
      <c r="I876" s="15" t="n"/>
      <c r="J876" s="15" t="n"/>
      <c r="K876" s="15" t="n"/>
    </row>
    <row r="877">
      <c r="A877" s="15" t="n"/>
      <c r="B877" s="15" t="n"/>
      <c r="C877" s="15" t="n"/>
      <c r="D877" s="15" t="n"/>
      <c r="E877" s="15" t="n"/>
      <c r="F877" s="15" t="n"/>
      <c r="G877" s="15" t="n"/>
      <c r="H877" s="15" t="n"/>
      <c r="I877" s="15" t="n"/>
      <c r="J877" s="15" t="n"/>
      <c r="K877" s="15" t="n"/>
    </row>
    <row r="878">
      <c r="A878" s="15" t="n"/>
      <c r="B878" s="15" t="n"/>
      <c r="C878" s="15" t="n"/>
      <c r="D878" s="15" t="n"/>
      <c r="E878" s="15" t="n"/>
      <c r="F878" s="15" t="n"/>
      <c r="G878" s="15" t="n"/>
      <c r="H878" s="15" t="n"/>
      <c r="I878" s="15" t="n"/>
      <c r="J878" s="15" t="n"/>
      <c r="K878" s="15" t="n"/>
    </row>
    <row r="879">
      <c r="A879" s="15" t="n"/>
      <c r="B879" s="15" t="n"/>
      <c r="C879" s="15" t="n"/>
      <c r="D879" s="15" t="n"/>
      <c r="E879" s="15" t="n"/>
      <c r="F879" s="15" t="n"/>
      <c r="G879" s="15" t="n"/>
      <c r="H879" s="15" t="n"/>
      <c r="I879" s="15" t="n"/>
      <c r="J879" s="15" t="n"/>
      <c r="K879" s="15" t="n"/>
    </row>
    <row r="880">
      <c r="A880" s="15" t="n"/>
      <c r="B880" s="15" t="n"/>
      <c r="C880" s="15" t="n"/>
      <c r="D880" s="15" t="n"/>
      <c r="E880" s="15" t="n"/>
      <c r="F880" s="15" t="n"/>
      <c r="G880" s="15" t="n"/>
      <c r="H880" s="15" t="n"/>
      <c r="I880" s="15" t="n"/>
      <c r="J880" s="15" t="n"/>
      <c r="K880" s="15" t="n"/>
    </row>
    <row r="881">
      <c r="A881" s="15" t="n"/>
      <c r="B881" s="15" t="n"/>
      <c r="C881" s="15" t="n"/>
      <c r="D881" s="15" t="n"/>
      <c r="E881" s="15" t="n"/>
      <c r="F881" s="15" t="n"/>
      <c r="G881" s="15" t="n"/>
      <c r="H881" s="15" t="n"/>
      <c r="I881" s="15" t="n"/>
      <c r="J881" s="15" t="n"/>
      <c r="K881" s="15" t="n"/>
    </row>
    <row r="882">
      <c r="A882" s="15" t="n"/>
      <c r="B882" s="15" t="n"/>
      <c r="C882" s="15" t="n"/>
      <c r="D882" s="15" t="n"/>
      <c r="E882" s="15" t="n"/>
      <c r="F882" s="15" t="n"/>
      <c r="G882" s="15" t="n"/>
      <c r="H882" s="15" t="n"/>
      <c r="I882" s="15" t="n"/>
      <c r="J882" s="15" t="n"/>
      <c r="K882" s="15" t="n"/>
    </row>
    <row r="883">
      <c r="A883" s="15" t="n"/>
      <c r="B883" s="15" t="n"/>
      <c r="C883" s="15" t="n"/>
      <c r="D883" s="15" t="n"/>
      <c r="E883" s="15" t="n"/>
      <c r="F883" s="15" t="n"/>
      <c r="G883" s="15" t="n"/>
      <c r="H883" s="15" t="n"/>
      <c r="I883" s="15" t="n"/>
      <c r="J883" s="15" t="n"/>
      <c r="K883" s="15" t="n"/>
    </row>
    <row r="884">
      <c r="A884" s="15" t="n"/>
      <c r="B884" s="15" t="n"/>
      <c r="C884" s="15" t="n"/>
      <c r="D884" s="15" t="n"/>
      <c r="E884" s="15" t="n"/>
      <c r="F884" s="15" t="n"/>
      <c r="G884" s="15" t="n"/>
      <c r="H884" s="15" t="n"/>
      <c r="I884" s="15" t="n"/>
      <c r="J884" s="15" t="n"/>
      <c r="K884" s="15" t="n"/>
    </row>
    <row r="885">
      <c r="A885" s="15" t="n"/>
      <c r="B885" s="15" t="n"/>
      <c r="C885" s="15" t="n"/>
      <c r="D885" s="15" t="n"/>
      <c r="E885" s="15" t="n"/>
      <c r="F885" s="15" t="n"/>
      <c r="G885" s="15" t="n"/>
      <c r="H885" s="15" t="n"/>
      <c r="I885" s="15" t="n"/>
      <c r="J885" s="15" t="n"/>
      <c r="K885" s="15" t="n"/>
    </row>
    <row r="886">
      <c r="A886" s="15" t="n"/>
      <c r="B886" s="15" t="n"/>
      <c r="C886" s="15" t="n"/>
      <c r="D886" s="15" t="n"/>
      <c r="E886" s="15" t="n"/>
      <c r="F886" s="15" t="n"/>
      <c r="G886" s="15" t="n"/>
      <c r="H886" s="15" t="n"/>
      <c r="I886" s="15" t="n"/>
      <c r="J886" s="15" t="n"/>
      <c r="K886" s="15" t="n"/>
    </row>
    <row r="887">
      <c r="A887" s="15" t="n"/>
      <c r="B887" s="15" t="n"/>
      <c r="C887" s="15" t="n"/>
      <c r="D887" s="15" t="n"/>
      <c r="E887" s="15" t="n"/>
      <c r="F887" s="15" t="n"/>
      <c r="G887" s="15" t="n"/>
      <c r="H887" s="15" t="n"/>
      <c r="I887" s="15" t="n"/>
      <c r="J887" s="15" t="n"/>
      <c r="K887" s="15" t="n"/>
    </row>
    <row r="888">
      <c r="A888" s="15" t="n"/>
      <c r="B888" s="15" t="n"/>
      <c r="C888" s="15" t="n"/>
      <c r="D888" s="15" t="n"/>
      <c r="E888" s="15" t="n"/>
      <c r="F888" s="15" t="n"/>
      <c r="G888" s="15" t="n"/>
      <c r="H888" s="15" t="n"/>
      <c r="I888" s="15" t="n"/>
      <c r="J888" s="15" t="n"/>
      <c r="K888" s="15" t="n"/>
    </row>
    <row r="889">
      <c r="A889" s="15" t="n"/>
      <c r="B889" s="15" t="n"/>
      <c r="C889" s="15" t="n"/>
      <c r="D889" s="15" t="n"/>
      <c r="E889" s="15" t="n"/>
      <c r="F889" s="15" t="n"/>
      <c r="G889" s="15" t="n"/>
      <c r="H889" s="15" t="n"/>
      <c r="I889" s="15" t="n"/>
      <c r="J889" s="15" t="n"/>
      <c r="K889" s="15" t="n"/>
    </row>
    <row r="890">
      <c r="A890" s="15" t="n"/>
      <c r="B890" s="15" t="n"/>
      <c r="C890" s="15" t="n"/>
      <c r="D890" s="15" t="n"/>
      <c r="E890" s="15" t="n"/>
      <c r="F890" s="15" t="n"/>
      <c r="G890" s="15" t="n"/>
      <c r="H890" s="15" t="n"/>
      <c r="I890" s="15" t="n"/>
      <c r="J890" s="15" t="n"/>
      <c r="K890" s="15" t="n"/>
    </row>
    <row r="891">
      <c r="A891" s="15" t="n"/>
      <c r="B891" s="15" t="n"/>
      <c r="C891" s="15" t="n"/>
      <c r="D891" s="15" t="n"/>
      <c r="E891" s="15" t="n"/>
      <c r="F891" s="15" t="n"/>
      <c r="G891" s="15" t="n"/>
      <c r="H891" s="15" t="n"/>
      <c r="I891" s="15" t="n"/>
      <c r="J891" s="15" t="n"/>
      <c r="K891" s="15" t="n"/>
    </row>
    <row r="892">
      <c r="A892" s="15" t="n"/>
      <c r="B892" s="15" t="n"/>
      <c r="C892" s="15" t="n"/>
      <c r="D892" s="15" t="n"/>
      <c r="E892" s="15" t="n"/>
      <c r="F892" s="15" t="n"/>
      <c r="G892" s="15" t="n"/>
      <c r="H892" s="15" t="n"/>
      <c r="I892" s="15" t="n"/>
      <c r="J892" s="15" t="n"/>
      <c r="K892" s="15" t="n"/>
    </row>
    <row r="893">
      <c r="A893" s="15" t="n"/>
      <c r="B893" s="15" t="n"/>
      <c r="C893" s="15" t="n"/>
      <c r="D893" s="15" t="n"/>
      <c r="E893" s="15" t="n"/>
      <c r="F893" s="15" t="n"/>
      <c r="G893" s="15" t="n"/>
      <c r="H893" s="15" t="n"/>
      <c r="I893" s="15" t="n"/>
      <c r="J893" s="15" t="n"/>
      <c r="K893" s="15" t="n"/>
    </row>
    <row r="894">
      <c r="A894" s="15" t="n"/>
      <c r="B894" s="15" t="n"/>
      <c r="C894" s="15" t="n"/>
      <c r="D894" s="15" t="n"/>
      <c r="E894" s="15" t="n"/>
      <c r="F894" s="15" t="n"/>
      <c r="G894" s="15" t="n"/>
      <c r="H894" s="15" t="n"/>
      <c r="I894" s="15" t="n"/>
      <c r="J894" s="15" t="n"/>
      <c r="K894" s="15" t="n"/>
    </row>
    <row r="895">
      <c r="A895" s="15" t="n"/>
      <c r="B895" s="15" t="n"/>
      <c r="C895" s="15" t="n"/>
      <c r="D895" s="15" t="n"/>
      <c r="E895" s="15" t="n"/>
      <c r="F895" s="15" t="n"/>
      <c r="G895" s="15" t="n"/>
      <c r="H895" s="15" t="n"/>
      <c r="I895" s="15" t="n"/>
      <c r="J895" s="15" t="n"/>
      <c r="K895" s="15" t="n"/>
    </row>
    <row r="896">
      <c r="A896" s="15" t="n"/>
      <c r="B896" s="15" t="n"/>
      <c r="C896" s="15" t="n"/>
      <c r="D896" s="15" t="n"/>
      <c r="E896" s="15" t="n"/>
      <c r="F896" s="15" t="n"/>
      <c r="G896" s="15" t="n"/>
      <c r="H896" s="15" t="n"/>
      <c r="I896" s="15" t="n"/>
      <c r="J896" s="15" t="n"/>
      <c r="K896" s="15" t="n"/>
    </row>
    <row r="897">
      <c r="A897" s="15" t="n"/>
      <c r="B897" s="15" t="n"/>
      <c r="C897" s="15" t="n"/>
      <c r="D897" s="15" t="n"/>
      <c r="E897" s="15" t="n"/>
      <c r="F897" s="15" t="n"/>
      <c r="G897" s="15" t="n"/>
      <c r="H897" s="15" t="n"/>
      <c r="I897" s="15" t="n"/>
      <c r="J897" s="15" t="n"/>
      <c r="K897" s="15" t="n"/>
    </row>
    <row r="898">
      <c r="A898" s="15" t="n"/>
      <c r="B898" s="15" t="n"/>
      <c r="C898" s="15" t="n"/>
      <c r="D898" s="15" t="n"/>
      <c r="E898" s="15" t="n"/>
      <c r="F898" s="15" t="n"/>
      <c r="G898" s="15" t="n"/>
      <c r="H898" s="15" t="n"/>
      <c r="I898" s="15" t="n"/>
      <c r="J898" s="15" t="n"/>
      <c r="K898" s="15" t="n"/>
    </row>
    <row r="899">
      <c r="A899" s="15" t="n"/>
      <c r="B899" s="15" t="n"/>
      <c r="C899" s="15" t="n"/>
      <c r="D899" s="15" t="n"/>
      <c r="E899" s="15" t="n"/>
      <c r="F899" s="15" t="n"/>
      <c r="G899" s="15" t="n"/>
      <c r="H899" s="15" t="n"/>
      <c r="I899" s="15" t="n"/>
      <c r="J899" s="15" t="n"/>
      <c r="K899" s="15" t="n"/>
    </row>
    <row r="900">
      <c r="A900" s="15" t="n"/>
      <c r="B900" s="15" t="n"/>
      <c r="C900" s="15" t="n"/>
      <c r="D900" s="15" t="n"/>
      <c r="E900" s="15" t="n"/>
      <c r="F900" s="15" t="n"/>
      <c r="G900" s="15" t="n"/>
      <c r="H900" s="15" t="n"/>
      <c r="I900" s="15" t="n"/>
      <c r="J900" s="15" t="n"/>
      <c r="K900" s="15" t="n"/>
    </row>
    <row r="901">
      <c r="A901" s="15" t="n"/>
      <c r="B901" s="15" t="n"/>
      <c r="C901" s="15" t="n"/>
      <c r="D901" s="15" t="n"/>
      <c r="E901" s="15" t="n"/>
      <c r="F901" s="15" t="n"/>
      <c r="G901" s="15" t="n"/>
      <c r="H901" s="15" t="n"/>
      <c r="I901" s="15" t="n"/>
      <c r="J901" s="15" t="n"/>
      <c r="K901" s="15" t="n"/>
    </row>
    <row r="902">
      <c r="A902" s="15" t="n"/>
      <c r="B902" s="15" t="n"/>
      <c r="C902" s="15" t="n"/>
      <c r="D902" s="15" t="n"/>
      <c r="E902" s="15" t="n"/>
      <c r="F902" s="15" t="n"/>
      <c r="G902" s="15" t="n"/>
      <c r="H902" s="15" t="n"/>
      <c r="I902" s="15" t="n"/>
      <c r="J902" s="15" t="n"/>
      <c r="K902" s="15" t="n"/>
    </row>
    <row r="903">
      <c r="A903" s="15" t="n"/>
      <c r="B903" s="15" t="n"/>
      <c r="C903" s="15" t="n"/>
      <c r="D903" s="15" t="n"/>
      <c r="E903" s="15" t="n"/>
      <c r="F903" s="15" t="n"/>
      <c r="G903" s="15" t="n"/>
      <c r="H903" s="15" t="n"/>
      <c r="I903" s="15" t="n"/>
      <c r="J903" s="15" t="n"/>
      <c r="K903" s="15" t="n"/>
    </row>
    <row r="904">
      <c r="A904" s="15" t="n"/>
      <c r="B904" s="15" t="n"/>
      <c r="C904" s="15" t="n"/>
      <c r="D904" s="15" t="n"/>
      <c r="E904" s="15" t="n"/>
      <c r="F904" s="15" t="n"/>
      <c r="G904" s="15" t="n"/>
      <c r="H904" s="15" t="n"/>
      <c r="I904" s="15" t="n"/>
      <c r="J904" s="15" t="n"/>
      <c r="K904" s="15" t="n"/>
    </row>
    <row r="905">
      <c r="A905" s="15" t="n"/>
      <c r="B905" s="15" t="n"/>
      <c r="C905" s="15" t="n"/>
      <c r="D905" s="15" t="n"/>
      <c r="E905" s="15" t="n"/>
      <c r="F905" s="15" t="n"/>
      <c r="G905" s="15" t="n"/>
      <c r="H905" s="15" t="n"/>
      <c r="I905" s="15" t="n"/>
      <c r="J905" s="15" t="n"/>
      <c r="K905" s="15" t="n"/>
    </row>
    <row r="906">
      <c r="A906" s="15" t="n"/>
      <c r="B906" s="15" t="n"/>
      <c r="C906" s="15" t="n"/>
      <c r="D906" s="15" t="n"/>
      <c r="E906" s="15" t="n"/>
      <c r="F906" s="15" t="n"/>
      <c r="G906" s="15" t="n"/>
      <c r="H906" s="15" t="n"/>
      <c r="I906" s="15" t="n"/>
      <c r="J906" s="15" t="n"/>
      <c r="K906" s="15" t="n"/>
    </row>
    <row r="907">
      <c r="A907" s="15" t="n"/>
      <c r="B907" s="15" t="n"/>
      <c r="C907" s="15" t="n"/>
      <c r="D907" s="15" t="n"/>
      <c r="E907" s="15" t="n"/>
      <c r="F907" s="15" t="n"/>
      <c r="G907" s="15" t="n"/>
      <c r="H907" s="15" t="n"/>
      <c r="I907" s="15" t="n"/>
      <c r="J907" s="15" t="n"/>
      <c r="K907" s="15" t="n"/>
    </row>
    <row r="908">
      <c r="A908" s="15" t="n"/>
      <c r="B908" s="15" t="n"/>
      <c r="C908" s="15" t="n"/>
      <c r="D908" s="15" t="n"/>
      <c r="E908" s="15" t="n"/>
      <c r="F908" s="15" t="n"/>
      <c r="G908" s="15" t="n"/>
      <c r="H908" s="15" t="n"/>
      <c r="I908" s="15" t="n"/>
      <c r="J908" s="15" t="n"/>
      <c r="K908" s="15" t="n"/>
    </row>
    <row r="909">
      <c r="A909" s="15" t="n"/>
      <c r="B909" s="15" t="n"/>
      <c r="C909" s="15" t="n"/>
      <c r="D909" s="15" t="n"/>
      <c r="E909" s="15" t="n"/>
      <c r="F909" s="15" t="n"/>
      <c r="G909" s="15" t="n"/>
      <c r="H909" s="15" t="n"/>
      <c r="I909" s="15" t="n"/>
      <c r="J909" s="15" t="n"/>
      <c r="K909" s="15" t="n"/>
    </row>
    <row r="910">
      <c r="A910" s="15" t="n"/>
      <c r="B910" s="15" t="n"/>
      <c r="C910" s="15" t="n"/>
      <c r="D910" s="15" t="n"/>
      <c r="E910" s="15" t="n"/>
      <c r="F910" s="15" t="n"/>
      <c r="G910" s="15" t="n"/>
      <c r="H910" s="15" t="n"/>
      <c r="I910" s="15" t="n"/>
      <c r="J910" s="15" t="n"/>
      <c r="K910" s="15" t="n"/>
    </row>
    <row r="911">
      <c r="A911" s="15" t="n"/>
      <c r="B911" s="15" t="n"/>
      <c r="C911" s="15" t="n"/>
      <c r="D911" s="15" t="n"/>
      <c r="E911" s="15" t="n"/>
      <c r="F911" s="15" t="n"/>
      <c r="G911" s="15" t="n"/>
      <c r="H911" s="15" t="n"/>
      <c r="I911" s="15" t="n"/>
      <c r="J911" s="15" t="n"/>
      <c r="K911" s="15" t="n"/>
    </row>
    <row r="912">
      <c r="A912" s="15" t="n"/>
      <c r="B912" s="15" t="n"/>
      <c r="C912" s="15" t="n"/>
      <c r="D912" s="15" t="n"/>
      <c r="E912" s="15" t="n"/>
      <c r="F912" s="15" t="n"/>
      <c r="G912" s="15" t="n"/>
      <c r="H912" s="15" t="n"/>
      <c r="I912" s="15" t="n"/>
      <c r="J912" s="15" t="n"/>
      <c r="K912" s="15" t="n"/>
    </row>
    <row r="913">
      <c r="A913" s="15" t="n"/>
      <c r="B913" s="15" t="n"/>
      <c r="C913" s="15" t="n"/>
      <c r="D913" s="15" t="n"/>
      <c r="E913" s="15" t="n"/>
      <c r="F913" s="15" t="n"/>
      <c r="G913" s="15" t="n"/>
      <c r="H913" s="15" t="n"/>
      <c r="I913" s="15" t="n"/>
      <c r="J913" s="15" t="n"/>
      <c r="K913" s="15" t="n"/>
    </row>
    <row r="914">
      <c r="A914" s="15" t="n"/>
      <c r="B914" s="15" t="n"/>
      <c r="C914" s="15" t="n"/>
      <c r="D914" s="15" t="n"/>
      <c r="E914" s="15" t="n"/>
      <c r="F914" s="15" t="n"/>
      <c r="G914" s="15" t="n"/>
      <c r="H914" s="15" t="n"/>
      <c r="I914" s="15" t="n"/>
      <c r="J914" s="15" t="n"/>
      <c r="K914" s="15" t="n"/>
    </row>
    <row r="915">
      <c r="A915" s="15" t="n"/>
      <c r="B915" s="15" t="n"/>
      <c r="C915" s="15" t="n"/>
      <c r="D915" s="15" t="n"/>
      <c r="E915" s="15" t="n"/>
      <c r="F915" s="15" t="n"/>
      <c r="G915" s="15" t="n"/>
      <c r="H915" s="15" t="n"/>
      <c r="I915" s="15" t="n"/>
      <c r="J915" s="15" t="n"/>
      <c r="K915" s="15" t="n"/>
    </row>
    <row r="916">
      <c r="A916" s="15" t="n"/>
      <c r="B916" s="15" t="n"/>
      <c r="C916" s="15" t="n"/>
      <c r="D916" s="15" t="n"/>
      <c r="E916" s="15" t="n"/>
      <c r="F916" s="15" t="n"/>
      <c r="G916" s="15" t="n"/>
      <c r="H916" s="15" t="n"/>
      <c r="I916" s="15" t="n"/>
      <c r="J916" s="15" t="n"/>
      <c r="K916" s="15" t="n"/>
    </row>
    <row r="917">
      <c r="A917" s="15" t="n"/>
      <c r="B917" s="15" t="n"/>
      <c r="C917" s="15" t="n"/>
      <c r="D917" s="15" t="n"/>
      <c r="E917" s="15" t="n"/>
      <c r="F917" s="15" t="n"/>
      <c r="G917" s="15" t="n"/>
      <c r="H917" s="15" t="n"/>
      <c r="I917" s="15" t="n"/>
      <c r="J917" s="15" t="n"/>
      <c r="K917" s="15" t="n"/>
    </row>
    <row r="918">
      <c r="A918" s="15" t="n"/>
      <c r="B918" s="15" t="n"/>
      <c r="C918" s="15" t="n"/>
      <c r="D918" s="15" t="n"/>
      <c r="E918" s="15" t="n"/>
      <c r="F918" s="15" t="n"/>
      <c r="G918" s="15" t="n"/>
      <c r="H918" s="15" t="n"/>
      <c r="I918" s="15" t="n"/>
      <c r="J918" s="15" t="n"/>
      <c r="K918" s="15" t="n"/>
    </row>
    <row r="919">
      <c r="A919" s="15" t="n"/>
      <c r="B919" s="15" t="n"/>
      <c r="C919" s="15" t="n"/>
      <c r="D919" s="15" t="n"/>
      <c r="E919" s="15" t="n"/>
      <c r="F919" s="15" t="n"/>
      <c r="G919" s="15" t="n"/>
      <c r="H919" s="15" t="n"/>
      <c r="I919" s="15" t="n"/>
      <c r="J919" s="15" t="n"/>
      <c r="K919" s="15" t="n"/>
    </row>
    <row r="920">
      <c r="A920" s="15" t="n"/>
      <c r="B920" s="15" t="n"/>
      <c r="C920" s="15" t="n"/>
      <c r="D920" s="15" t="n"/>
      <c r="E920" s="15" t="n"/>
      <c r="F920" s="15" t="n"/>
      <c r="G920" s="15" t="n"/>
      <c r="H920" s="15" t="n"/>
      <c r="I920" s="15" t="n"/>
      <c r="J920" s="15" t="n"/>
      <c r="K920" s="15" t="n"/>
    </row>
    <row r="921">
      <c r="A921" s="15" t="n"/>
      <c r="B921" s="15" t="n"/>
      <c r="C921" s="15" t="n"/>
      <c r="D921" s="15" t="n"/>
      <c r="E921" s="15" t="n"/>
      <c r="F921" s="15" t="n"/>
      <c r="G921" s="15" t="n"/>
      <c r="H921" s="15" t="n"/>
      <c r="I921" s="15" t="n"/>
      <c r="J921" s="15" t="n"/>
      <c r="K921" s="15" t="n"/>
    </row>
    <row r="922">
      <c r="A922" s="15" t="n"/>
      <c r="B922" s="15" t="n"/>
      <c r="C922" s="15" t="n"/>
      <c r="D922" s="15" t="n"/>
      <c r="E922" s="15" t="n"/>
      <c r="F922" s="15" t="n"/>
      <c r="G922" s="15" t="n"/>
      <c r="H922" s="15" t="n"/>
      <c r="I922" s="15" t="n"/>
      <c r="J922" s="15" t="n"/>
      <c r="K922" s="15" t="n"/>
    </row>
    <row r="923">
      <c r="A923" s="15" t="n"/>
      <c r="B923" s="15" t="n"/>
      <c r="C923" s="15" t="n"/>
      <c r="D923" s="15" t="n"/>
      <c r="E923" s="15" t="n"/>
      <c r="F923" s="15" t="n"/>
      <c r="G923" s="15" t="n"/>
      <c r="H923" s="15" t="n"/>
      <c r="I923" s="15" t="n"/>
      <c r="J923" s="15" t="n"/>
      <c r="K923" s="15" t="n"/>
    </row>
    <row r="924">
      <c r="A924" s="15" t="n"/>
      <c r="B924" s="15" t="n"/>
      <c r="C924" s="15" t="n"/>
      <c r="D924" s="15" t="n"/>
      <c r="E924" s="15" t="n"/>
      <c r="F924" s="15" t="n"/>
      <c r="G924" s="15" t="n"/>
      <c r="H924" s="15" t="n"/>
      <c r="I924" s="15" t="n"/>
      <c r="J924" s="15" t="n"/>
      <c r="K924" s="15" t="n"/>
    </row>
    <row r="925">
      <c r="A925" s="15" t="n"/>
      <c r="B925" s="15" t="n"/>
      <c r="C925" s="15" t="n"/>
      <c r="D925" s="15" t="n"/>
      <c r="E925" s="15" t="n"/>
      <c r="F925" s="15" t="n"/>
      <c r="G925" s="15" t="n"/>
      <c r="H925" s="15" t="n"/>
      <c r="I925" s="15" t="n"/>
      <c r="J925" s="15" t="n"/>
      <c r="K925" s="15" t="n"/>
    </row>
    <row r="926">
      <c r="A926" s="15" t="n"/>
      <c r="B926" s="15" t="n"/>
      <c r="C926" s="15" t="n"/>
      <c r="D926" s="15" t="n"/>
      <c r="E926" s="15" t="n"/>
      <c r="F926" s="15" t="n"/>
      <c r="G926" s="15" t="n"/>
      <c r="H926" s="15" t="n"/>
      <c r="I926" s="15" t="n"/>
      <c r="J926" s="15" t="n"/>
      <c r="K926" s="15" t="n"/>
    </row>
    <row r="927">
      <c r="A927" s="15" t="n"/>
      <c r="B927" s="15" t="n"/>
      <c r="C927" s="15" t="n"/>
      <c r="D927" s="15" t="n"/>
      <c r="E927" s="15" t="n"/>
      <c r="F927" s="15" t="n"/>
      <c r="G927" s="15" t="n"/>
      <c r="H927" s="15" t="n"/>
      <c r="I927" s="15" t="n"/>
      <c r="J927" s="15" t="n"/>
      <c r="K927" s="15" t="n"/>
    </row>
    <row r="928">
      <c r="A928" s="15" t="n"/>
      <c r="B928" s="15" t="n"/>
      <c r="C928" s="15" t="n"/>
      <c r="D928" s="15" t="n"/>
      <c r="E928" s="15" t="n"/>
      <c r="F928" s="15" t="n"/>
      <c r="G928" s="15" t="n"/>
      <c r="H928" s="15" t="n"/>
      <c r="I928" s="15" t="n"/>
      <c r="J928" s="15" t="n"/>
      <c r="K928" s="15" t="n"/>
    </row>
    <row r="929">
      <c r="A929" s="15" t="n"/>
      <c r="B929" s="15" t="n"/>
      <c r="C929" s="15" t="n"/>
      <c r="D929" s="15" t="n"/>
      <c r="E929" s="15" t="n"/>
      <c r="F929" s="15" t="n"/>
      <c r="G929" s="15" t="n"/>
      <c r="H929" s="15" t="n"/>
      <c r="I929" s="15" t="n"/>
      <c r="J929" s="15" t="n"/>
      <c r="K929" s="15" t="n"/>
    </row>
    <row r="930">
      <c r="A930" s="15" t="n"/>
      <c r="B930" s="15" t="n"/>
      <c r="C930" s="15" t="n"/>
      <c r="D930" s="15" t="n"/>
      <c r="E930" s="15" t="n"/>
      <c r="F930" s="15" t="n"/>
      <c r="G930" s="15" t="n"/>
      <c r="H930" s="15" t="n"/>
      <c r="I930" s="15" t="n"/>
      <c r="J930" s="15" t="n"/>
      <c r="K930" s="15" t="n"/>
    </row>
    <row r="931">
      <c r="A931" s="15" t="n"/>
      <c r="B931" s="15" t="n"/>
      <c r="C931" s="15" t="n"/>
      <c r="D931" s="15" t="n"/>
      <c r="E931" s="15" t="n"/>
      <c r="F931" s="15" t="n"/>
      <c r="G931" s="15" t="n"/>
      <c r="H931" s="15" t="n"/>
      <c r="I931" s="15" t="n"/>
      <c r="J931" s="15" t="n"/>
      <c r="K931" s="15" t="n"/>
    </row>
    <row r="932">
      <c r="A932" s="15" t="n"/>
      <c r="B932" s="15" t="n"/>
      <c r="C932" s="15" t="n"/>
      <c r="D932" s="15" t="n"/>
      <c r="E932" s="15" t="n"/>
      <c r="F932" s="15" t="n"/>
      <c r="G932" s="15" t="n"/>
      <c r="H932" s="15" t="n"/>
      <c r="I932" s="15" t="n"/>
      <c r="J932" s="15" t="n"/>
      <c r="K932" s="15" t="n"/>
    </row>
    <row r="933">
      <c r="A933" s="15" t="n"/>
      <c r="B933" s="15" t="n"/>
      <c r="C933" s="15" t="n"/>
      <c r="D933" s="15" t="n"/>
      <c r="E933" s="15" t="n"/>
      <c r="F933" s="15" t="n"/>
      <c r="G933" s="15" t="n"/>
      <c r="H933" s="15" t="n"/>
      <c r="I933" s="15" t="n"/>
      <c r="J933" s="15" t="n"/>
      <c r="K933" s="15" t="n"/>
    </row>
    <row r="934">
      <c r="A934" s="15" t="n"/>
      <c r="B934" s="15" t="n"/>
      <c r="C934" s="15" t="n"/>
      <c r="D934" s="15" t="n"/>
      <c r="E934" s="15" t="n"/>
      <c r="F934" s="15" t="n"/>
      <c r="G934" s="15" t="n"/>
      <c r="H934" s="15" t="n"/>
      <c r="I934" s="15" t="n"/>
      <c r="J934" s="15" t="n"/>
      <c r="K934" s="15" t="n"/>
    </row>
    <row r="935">
      <c r="A935" s="15" t="n"/>
      <c r="B935" s="15" t="n"/>
      <c r="C935" s="15" t="n"/>
      <c r="D935" s="15" t="n"/>
      <c r="E935" s="15" t="n"/>
      <c r="F935" s="15" t="n"/>
      <c r="G935" s="15" t="n"/>
      <c r="H935" s="15" t="n"/>
      <c r="I935" s="15" t="n"/>
      <c r="J935" s="15" t="n"/>
      <c r="K935" s="15" t="n"/>
    </row>
    <row r="936">
      <c r="A936" s="15" t="n"/>
      <c r="B936" s="15" t="n"/>
      <c r="C936" s="15" t="n"/>
      <c r="D936" s="15" t="n"/>
      <c r="E936" s="15" t="n"/>
      <c r="F936" s="15" t="n"/>
      <c r="G936" s="15" t="n"/>
      <c r="H936" s="15" t="n"/>
      <c r="I936" s="15" t="n"/>
      <c r="J936" s="15" t="n"/>
      <c r="K936" s="15" t="n"/>
    </row>
    <row r="937">
      <c r="A937" s="15" t="n"/>
      <c r="B937" s="15" t="n"/>
      <c r="C937" s="15" t="n"/>
      <c r="D937" s="15" t="n"/>
      <c r="E937" s="15" t="n"/>
      <c r="F937" s="15" t="n"/>
      <c r="G937" s="15" t="n"/>
      <c r="H937" s="15" t="n"/>
      <c r="I937" s="15" t="n"/>
      <c r="J937" s="15" t="n"/>
      <c r="K937" s="15" t="n"/>
    </row>
    <row r="938">
      <c r="A938" s="15" t="n"/>
      <c r="B938" s="15" t="n"/>
      <c r="C938" s="15" t="n"/>
      <c r="D938" s="15" t="n"/>
      <c r="E938" s="15" t="n"/>
      <c r="F938" s="15" t="n"/>
      <c r="G938" s="15" t="n"/>
      <c r="H938" s="15" t="n"/>
      <c r="I938" s="15" t="n"/>
      <c r="J938" s="15" t="n"/>
      <c r="K938" s="15" t="n"/>
    </row>
    <row r="939">
      <c r="A939" s="15" t="n"/>
      <c r="B939" s="15" t="n"/>
      <c r="C939" s="15" t="n"/>
      <c r="D939" s="15" t="n"/>
      <c r="E939" s="15" t="n"/>
      <c r="F939" s="15" t="n"/>
      <c r="G939" s="15" t="n"/>
      <c r="H939" s="15" t="n"/>
      <c r="I939" s="15" t="n"/>
      <c r="J939" s="15" t="n"/>
      <c r="K939" s="15" t="n"/>
    </row>
    <row r="940">
      <c r="A940" s="15" t="n"/>
      <c r="B940" s="15" t="n"/>
      <c r="C940" s="15" t="n"/>
      <c r="D940" s="15" t="n"/>
      <c r="E940" s="15" t="n"/>
      <c r="F940" s="15" t="n"/>
      <c r="G940" s="15" t="n"/>
      <c r="H940" s="15" t="n"/>
      <c r="I940" s="15" t="n"/>
      <c r="J940" s="15" t="n"/>
      <c r="K940" s="15" t="n"/>
    </row>
    <row r="941">
      <c r="A941" s="15" t="n"/>
      <c r="B941" s="15" t="n"/>
      <c r="C941" s="15" t="n"/>
      <c r="D941" s="15" t="n"/>
      <c r="E941" s="15" t="n"/>
      <c r="F941" s="15" t="n"/>
      <c r="G941" s="15" t="n"/>
      <c r="H941" s="15" t="n"/>
      <c r="I941" s="15" t="n"/>
      <c r="J941" s="15" t="n"/>
      <c r="K941" s="15" t="n"/>
    </row>
    <row r="942">
      <c r="A942" s="15" t="n"/>
      <c r="B942" s="15" t="n"/>
      <c r="C942" s="15" t="n"/>
      <c r="D942" s="15" t="n"/>
      <c r="E942" s="15" t="n"/>
      <c r="F942" s="15" t="n"/>
      <c r="G942" s="15" t="n"/>
      <c r="H942" s="15" t="n"/>
      <c r="I942" s="15" t="n"/>
      <c r="J942" s="15" t="n"/>
      <c r="K942" s="15" t="n"/>
    </row>
    <row r="943">
      <c r="A943" s="15" t="n"/>
      <c r="B943" s="15" t="n"/>
      <c r="C943" s="15" t="n"/>
      <c r="D943" s="15" t="n"/>
      <c r="E943" s="15" t="n"/>
      <c r="F943" s="15" t="n"/>
      <c r="G943" s="15" t="n"/>
      <c r="H943" s="15" t="n"/>
      <c r="I943" s="15" t="n"/>
      <c r="J943" s="15" t="n"/>
      <c r="K943" s="15" t="n"/>
    </row>
    <row r="944">
      <c r="A944" s="15" t="n"/>
      <c r="B944" s="15" t="n"/>
      <c r="C944" s="15" t="n"/>
      <c r="D944" s="15" t="n"/>
      <c r="E944" s="15" t="n"/>
      <c r="F944" s="15" t="n"/>
      <c r="G944" s="15" t="n"/>
      <c r="H944" s="15" t="n"/>
      <c r="I944" s="15" t="n"/>
      <c r="J944" s="15" t="n"/>
      <c r="K944" s="15" t="n"/>
    </row>
    <row r="945">
      <c r="A945" s="15" t="n"/>
      <c r="B945" s="15" t="n"/>
      <c r="C945" s="15" t="n"/>
      <c r="D945" s="15" t="n"/>
      <c r="E945" s="15" t="n"/>
      <c r="F945" s="15" t="n"/>
      <c r="G945" s="15" t="n"/>
      <c r="H945" s="15" t="n"/>
      <c r="I945" s="15" t="n"/>
      <c r="J945" s="15" t="n"/>
      <c r="K945" s="15" t="n"/>
    </row>
    <row r="946">
      <c r="A946" s="15" t="n"/>
      <c r="B946" s="15" t="n"/>
      <c r="C946" s="15" t="n"/>
      <c r="D946" s="15" t="n"/>
      <c r="E946" s="15" t="n"/>
      <c r="F946" s="15" t="n"/>
      <c r="G946" s="15" t="n"/>
      <c r="H946" s="15" t="n"/>
      <c r="I946" s="15" t="n"/>
      <c r="J946" s="15" t="n"/>
      <c r="K946" s="15" t="n"/>
    </row>
    <row r="947">
      <c r="A947" s="15" t="n"/>
      <c r="B947" s="15" t="n"/>
      <c r="C947" s="15" t="n"/>
      <c r="D947" s="15" t="n"/>
      <c r="E947" s="15" t="n"/>
      <c r="F947" s="15" t="n"/>
      <c r="G947" s="15" t="n"/>
      <c r="H947" s="15" t="n"/>
      <c r="I947" s="15" t="n"/>
      <c r="J947" s="15" t="n"/>
      <c r="K947" s="15" t="n"/>
    </row>
    <row r="948">
      <c r="A948" s="15" t="n"/>
      <c r="B948" s="15" t="n"/>
      <c r="C948" s="15" t="n"/>
      <c r="D948" s="15" t="n"/>
      <c r="E948" s="15" t="n"/>
      <c r="F948" s="15" t="n"/>
      <c r="G948" s="15" t="n"/>
      <c r="H948" s="15" t="n"/>
      <c r="I948" s="15" t="n"/>
      <c r="J948" s="15" t="n"/>
      <c r="K948" s="15" t="n"/>
    </row>
    <row r="949">
      <c r="A949" s="15" t="n"/>
      <c r="B949" s="15" t="n"/>
      <c r="C949" s="15" t="n"/>
      <c r="D949" s="15" t="n"/>
      <c r="E949" s="15" t="n"/>
      <c r="F949" s="15" t="n"/>
      <c r="G949" s="15" t="n"/>
      <c r="H949" s="15" t="n"/>
      <c r="I949" s="15" t="n"/>
      <c r="J949" s="15" t="n"/>
      <c r="K949" s="15" t="n"/>
    </row>
    <row r="950">
      <c r="A950" s="15" t="n"/>
      <c r="B950" s="15" t="n"/>
      <c r="C950" s="15" t="n"/>
      <c r="D950" s="15" t="n"/>
      <c r="E950" s="15" t="n"/>
      <c r="F950" s="15" t="n"/>
      <c r="G950" s="15" t="n"/>
      <c r="H950" s="15" t="n"/>
      <c r="I950" s="15" t="n"/>
      <c r="J950" s="15" t="n"/>
      <c r="K950" s="15" t="n"/>
    </row>
    <row r="951">
      <c r="A951" s="15" t="n"/>
      <c r="B951" s="15" t="n"/>
      <c r="C951" s="15" t="n"/>
      <c r="D951" s="15" t="n"/>
      <c r="E951" s="15" t="n"/>
      <c r="F951" s="15" t="n"/>
      <c r="G951" s="15" t="n"/>
      <c r="H951" s="15" t="n"/>
      <c r="I951" s="15" t="n"/>
      <c r="J951" s="15" t="n"/>
      <c r="K951" s="15" t="n"/>
    </row>
    <row r="952">
      <c r="A952" s="15" t="n"/>
      <c r="B952" s="15" t="n"/>
      <c r="C952" s="15" t="n"/>
      <c r="D952" s="15" t="n"/>
      <c r="E952" s="15" t="n"/>
      <c r="F952" s="15" t="n"/>
      <c r="G952" s="15" t="n"/>
      <c r="H952" s="15" t="n"/>
      <c r="I952" s="15" t="n"/>
      <c r="J952" s="15" t="n"/>
      <c r="K952" s="15" t="n"/>
    </row>
    <row r="953">
      <c r="A953" s="15" t="n"/>
      <c r="B953" s="15" t="n"/>
      <c r="C953" s="15" t="n"/>
      <c r="D953" s="15" t="n"/>
      <c r="E953" s="15" t="n"/>
      <c r="F953" s="15" t="n"/>
      <c r="G953" s="15" t="n"/>
      <c r="H953" s="15" t="n"/>
      <c r="I953" s="15" t="n"/>
      <c r="J953" s="15" t="n"/>
      <c r="K953" s="15" t="n"/>
    </row>
    <row r="954">
      <c r="A954" s="15" t="n"/>
      <c r="B954" s="15" t="n"/>
      <c r="C954" s="15" t="n"/>
      <c r="D954" s="15" t="n"/>
      <c r="E954" s="15" t="n"/>
      <c r="F954" s="15" t="n"/>
      <c r="G954" s="15" t="n"/>
      <c r="H954" s="15" t="n"/>
      <c r="I954" s="15" t="n"/>
      <c r="J954" s="15" t="n"/>
      <c r="K954" s="15" t="n"/>
    </row>
    <row r="955">
      <c r="A955" s="15" t="n"/>
      <c r="B955" s="15" t="n"/>
      <c r="C955" s="15" t="n"/>
      <c r="D955" s="15" t="n"/>
      <c r="E955" s="15" t="n"/>
      <c r="F955" s="15" t="n"/>
      <c r="G955" s="15" t="n"/>
      <c r="H955" s="15" t="n"/>
      <c r="I955" s="15" t="n"/>
      <c r="J955" s="15" t="n"/>
      <c r="K955" s="15" t="n"/>
    </row>
    <row r="956">
      <c r="A956" s="15" t="n"/>
      <c r="B956" s="15" t="n"/>
      <c r="C956" s="15" t="n"/>
      <c r="D956" s="15" t="n"/>
      <c r="E956" s="15" t="n"/>
      <c r="F956" s="15" t="n"/>
      <c r="G956" s="15" t="n"/>
      <c r="H956" s="15" t="n"/>
      <c r="I956" s="15" t="n"/>
      <c r="J956" s="15" t="n"/>
      <c r="K956" s="15" t="n"/>
    </row>
    <row r="957">
      <c r="A957" s="15" t="n"/>
      <c r="B957" s="15" t="n"/>
      <c r="C957" s="15" t="n"/>
      <c r="D957" s="15" t="n"/>
      <c r="E957" s="15" t="n"/>
      <c r="F957" s="15" t="n"/>
      <c r="G957" s="15" t="n"/>
      <c r="H957" s="15" t="n"/>
      <c r="I957" s="15" t="n"/>
      <c r="J957" s="15" t="n"/>
      <c r="K957" s="15" t="n"/>
    </row>
    <row r="958">
      <c r="A958" s="15" t="n"/>
      <c r="B958" s="15" t="n"/>
      <c r="C958" s="15" t="n"/>
      <c r="D958" s="15" t="n"/>
      <c r="E958" s="15" t="n"/>
      <c r="F958" s="15" t="n"/>
      <c r="G958" s="15" t="n"/>
      <c r="H958" s="15" t="n"/>
      <c r="I958" s="15" t="n"/>
      <c r="J958" s="15" t="n"/>
      <c r="K958" s="15" t="n"/>
    </row>
    <row r="959">
      <c r="A959" s="15" t="n"/>
      <c r="B959" s="15" t="n"/>
      <c r="C959" s="15" t="n"/>
      <c r="D959" s="15" t="n"/>
      <c r="E959" s="15" t="n"/>
      <c r="F959" s="15" t="n"/>
      <c r="G959" s="15" t="n"/>
      <c r="H959" s="15" t="n"/>
      <c r="I959" s="15" t="n"/>
      <c r="J959" s="15" t="n"/>
      <c r="K959" s="15" t="n"/>
    </row>
    <row r="960">
      <c r="A960" s="15" t="n"/>
      <c r="B960" s="15" t="n"/>
      <c r="C960" s="15" t="n"/>
      <c r="D960" s="15" t="n"/>
      <c r="E960" s="15" t="n"/>
      <c r="F960" s="15" t="n"/>
      <c r="G960" s="15" t="n"/>
      <c r="H960" s="15" t="n"/>
      <c r="I960" s="15" t="n"/>
      <c r="J960" s="15" t="n"/>
      <c r="K960" s="15" t="n"/>
    </row>
    <row r="961">
      <c r="A961" s="15" t="n"/>
      <c r="B961" s="15" t="n"/>
      <c r="C961" s="15" t="n"/>
      <c r="D961" s="15" t="n"/>
      <c r="E961" s="15" t="n"/>
      <c r="F961" s="15" t="n"/>
      <c r="G961" s="15" t="n"/>
      <c r="H961" s="15" t="n"/>
      <c r="I961" s="15" t="n"/>
      <c r="J961" s="15" t="n"/>
      <c r="K961" s="15" t="n"/>
    </row>
    <row r="962">
      <c r="A962" s="15" t="n"/>
      <c r="B962" s="15" t="n"/>
      <c r="C962" s="15" t="n"/>
      <c r="D962" s="15" t="n"/>
      <c r="E962" s="15" t="n"/>
      <c r="F962" s="15" t="n"/>
      <c r="G962" s="15" t="n"/>
      <c r="H962" s="15" t="n"/>
      <c r="I962" s="15" t="n"/>
      <c r="J962" s="15" t="n"/>
      <c r="K962" s="15" t="n"/>
    </row>
    <row r="963">
      <c r="A963" s="15" t="n"/>
      <c r="B963" s="15" t="n"/>
      <c r="C963" s="15" t="n"/>
      <c r="D963" s="15" t="n"/>
      <c r="E963" s="15" t="n"/>
      <c r="F963" s="15" t="n"/>
      <c r="G963" s="15" t="n"/>
      <c r="H963" s="15" t="n"/>
      <c r="I963" s="15" t="n"/>
      <c r="J963" s="15" t="n"/>
      <c r="K963" s="15" t="n"/>
    </row>
    <row r="964">
      <c r="A964" s="15" t="n"/>
      <c r="B964" s="15" t="n"/>
      <c r="C964" s="15" t="n"/>
      <c r="D964" s="15" t="n"/>
      <c r="E964" s="15" t="n"/>
      <c r="F964" s="15" t="n"/>
      <c r="G964" s="15" t="n"/>
      <c r="H964" s="15" t="n"/>
      <c r="I964" s="15" t="n"/>
      <c r="J964" s="15" t="n"/>
      <c r="K964" s="15" t="n"/>
    </row>
    <row r="965">
      <c r="A965" s="15" t="n"/>
      <c r="B965" s="15" t="n"/>
      <c r="C965" s="15" t="n"/>
      <c r="D965" s="15" t="n"/>
      <c r="E965" s="15" t="n"/>
      <c r="F965" s="15" t="n"/>
      <c r="G965" s="15" t="n"/>
      <c r="H965" s="15" t="n"/>
      <c r="I965" s="15" t="n"/>
      <c r="J965" s="15" t="n"/>
      <c r="K965" s="15" t="n"/>
    </row>
    <row r="966">
      <c r="A966" s="15" t="n"/>
      <c r="B966" s="15" t="n"/>
      <c r="C966" s="15" t="n"/>
      <c r="D966" s="15" t="n"/>
      <c r="E966" s="15" t="n"/>
      <c r="F966" s="15" t="n"/>
      <c r="G966" s="15" t="n"/>
      <c r="H966" s="15" t="n"/>
      <c r="I966" s="15" t="n"/>
      <c r="J966" s="15" t="n"/>
      <c r="K966" s="15" t="n"/>
    </row>
    <row r="967">
      <c r="A967" s="15" t="n"/>
      <c r="B967" s="15" t="n"/>
      <c r="C967" s="15" t="n"/>
      <c r="D967" s="15" t="n"/>
      <c r="E967" s="15" t="n"/>
      <c r="F967" s="15" t="n"/>
      <c r="G967" s="15" t="n"/>
      <c r="H967" s="15" t="n"/>
      <c r="I967" s="15" t="n"/>
      <c r="J967" s="15" t="n"/>
      <c r="K967" s="15" t="n"/>
    </row>
    <row r="968">
      <c r="A968" s="15" t="n"/>
      <c r="B968" s="15" t="n"/>
      <c r="C968" s="15" t="n"/>
      <c r="D968" s="15" t="n"/>
      <c r="E968" s="15" t="n"/>
      <c r="F968" s="15" t="n"/>
      <c r="G968" s="15" t="n"/>
      <c r="H968" s="15" t="n"/>
      <c r="I968" s="15" t="n"/>
      <c r="J968" s="15" t="n"/>
      <c r="K968" s="15" t="n"/>
    </row>
    <row r="969">
      <c r="A969" s="15" t="n"/>
      <c r="B969" s="15" t="n"/>
      <c r="C969" s="15" t="n"/>
      <c r="D969" s="15" t="n"/>
      <c r="E969" s="15" t="n"/>
      <c r="F969" s="15" t="n"/>
      <c r="G969" s="15" t="n"/>
      <c r="H969" s="15" t="n"/>
      <c r="I969" s="15" t="n"/>
      <c r="J969" s="15" t="n"/>
      <c r="K969" s="15" t="n"/>
    </row>
    <row r="970">
      <c r="A970" s="15" t="n"/>
      <c r="B970" s="15" t="n"/>
      <c r="C970" s="15" t="n"/>
      <c r="D970" s="15" t="n"/>
      <c r="E970" s="15" t="n"/>
      <c r="F970" s="15" t="n"/>
      <c r="G970" s="15" t="n"/>
      <c r="H970" s="15" t="n"/>
      <c r="I970" s="15" t="n"/>
      <c r="J970" s="15" t="n"/>
      <c r="K970" s="15" t="n"/>
    </row>
    <row r="971">
      <c r="A971" s="15" t="n"/>
      <c r="B971" s="15" t="n"/>
      <c r="C971" s="15" t="n"/>
      <c r="D971" s="15" t="n"/>
      <c r="E971" s="15" t="n"/>
      <c r="F971" s="15" t="n"/>
      <c r="G971" s="15" t="n"/>
      <c r="H971" s="15" t="n"/>
      <c r="I971" s="15" t="n"/>
      <c r="J971" s="15" t="n"/>
      <c r="K971" s="15" t="n"/>
    </row>
    <row r="972">
      <c r="A972" s="15" t="n"/>
      <c r="B972" s="15" t="n"/>
      <c r="C972" s="15" t="n"/>
      <c r="D972" s="15" t="n"/>
      <c r="E972" s="15" t="n"/>
      <c r="F972" s="15" t="n"/>
      <c r="G972" s="15" t="n"/>
      <c r="H972" s="15" t="n"/>
      <c r="I972" s="15" t="n"/>
      <c r="J972" s="15" t="n"/>
      <c r="K972" s="15" t="n"/>
    </row>
    <row r="973">
      <c r="A973" s="15" t="n"/>
      <c r="B973" s="15" t="n"/>
      <c r="C973" s="15" t="n"/>
      <c r="D973" s="15" t="n"/>
      <c r="E973" s="15" t="n"/>
      <c r="F973" s="15" t="n"/>
      <c r="G973" s="15" t="n"/>
      <c r="H973" s="15" t="n"/>
      <c r="I973" s="15" t="n"/>
      <c r="J973" s="15" t="n"/>
      <c r="K973" s="15" t="n"/>
    </row>
    <row r="974">
      <c r="A974" s="15" t="n"/>
      <c r="B974" s="15" t="n"/>
      <c r="C974" s="15" t="n"/>
      <c r="D974" s="15" t="n"/>
      <c r="E974" s="15" t="n"/>
      <c r="F974" s="15" t="n"/>
      <c r="G974" s="15" t="n"/>
      <c r="H974" s="15" t="n"/>
      <c r="I974" s="15" t="n"/>
      <c r="J974" s="15" t="n"/>
      <c r="K974" s="15" t="n"/>
    </row>
    <row r="975">
      <c r="A975" s="15" t="n"/>
      <c r="B975" s="15" t="n"/>
      <c r="C975" s="15" t="n"/>
      <c r="D975" s="15" t="n"/>
      <c r="E975" s="15" t="n"/>
      <c r="F975" s="15" t="n"/>
      <c r="G975" s="15" t="n"/>
      <c r="H975" s="15" t="n"/>
      <c r="I975" s="15" t="n"/>
      <c r="J975" s="15" t="n"/>
      <c r="K975" s="15" t="n"/>
    </row>
    <row r="976">
      <c r="A976" s="15" t="n"/>
      <c r="B976" s="15" t="n"/>
      <c r="C976" s="15" t="n"/>
      <c r="D976" s="15" t="n"/>
      <c r="E976" s="15" t="n"/>
      <c r="F976" s="15" t="n"/>
      <c r="G976" s="15" t="n"/>
      <c r="H976" s="15" t="n"/>
      <c r="I976" s="15" t="n"/>
      <c r="J976" s="15" t="n"/>
      <c r="K976" s="15" t="n"/>
    </row>
    <row r="977">
      <c r="A977" s="15" t="n"/>
      <c r="B977" s="15" t="n"/>
      <c r="C977" s="15" t="n"/>
      <c r="D977" s="15" t="n"/>
      <c r="E977" s="15" t="n"/>
      <c r="F977" s="15" t="n"/>
      <c r="G977" s="15" t="n"/>
      <c r="H977" s="15" t="n"/>
      <c r="I977" s="15" t="n"/>
      <c r="J977" s="15" t="n"/>
      <c r="K977" s="15" t="n"/>
    </row>
    <row r="978">
      <c r="A978" s="15" t="n"/>
      <c r="B978" s="15" t="n"/>
      <c r="C978" s="15" t="n"/>
      <c r="D978" s="15" t="n"/>
      <c r="E978" s="15" t="n"/>
      <c r="F978" s="15" t="n"/>
      <c r="G978" s="15" t="n"/>
      <c r="H978" s="15" t="n"/>
      <c r="I978" s="15" t="n"/>
      <c r="J978" s="15" t="n"/>
      <c r="K978" s="15" t="n"/>
    </row>
    <row r="979">
      <c r="A979" s="15" t="n"/>
      <c r="B979" s="15" t="n"/>
      <c r="C979" s="15" t="n"/>
      <c r="D979" s="15" t="n"/>
      <c r="E979" s="15" t="n"/>
      <c r="F979" s="15" t="n"/>
      <c r="G979" s="15" t="n"/>
      <c r="H979" s="15" t="n"/>
      <c r="I979" s="15" t="n"/>
      <c r="J979" s="15" t="n"/>
      <c r="K979" s="15" t="n"/>
    </row>
    <row r="980">
      <c r="A980" s="15" t="n"/>
      <c r="B980" s="15" t="n"/>
      <c r="C980" s="15" t="n"/>
      <c r="D980" s="15" t="n"/>
      <c r="E980" s="15" t="n"/>
      <c r="F980" s="15" t="n"/>
      <c r="G980" s="15" t="n"/>
      <c r="H980" s="15" t="n"/>
      <c r="I980" s="15" t="n"/>
      <c r="J980" s="15" t="n"/>
      <c r="K980" s="15" t="n"/>
    </row>
    <row r="981">
      <c r="A981" s="15" t="n"/>
      <c r="B981" s="15" t="n"/>
      <c r="C981" s="15" t="n"/>
      <c r="D981" s="15" t="n"/>
      <c r="E981" s="15" t="n"/>
      <c r="F981" s="15" t="n"/>
      <c r="G981" s="15" t="n"/>
      <c r="H981" s="15" t="n"/>
      <c r="I981" s="15" t="n"/>
      <c r="J981" s="15" t="n"/>
      <c r="K981" s="15" t="n"/>
    </row>
    <row r="982">
      <c r="A982" s="15" t="n"/>
      <c r="B982" s="15" t="n"/>
      <c r="C982" s="15" t="n"/>
      <c r="D982" s="15" t="n"/>
      <c r="E982" s="15" t="n"/>
      <c r="F982" s="15" t="n"/>
      <c r="G982" s="15" t="n"/>
      <c r="H982" s="15" t="n"/>
      <c r="I982" s="15" t="n"/>
      <c r="J982" s="15" t="n"/>
      <c r="K982" s="15" t="n"/>
    </row>
    <row r="983">
      <c r="A983" s="15" t="n"/>
      <c r="B983" s="15" t="n"/>
      <c r="C983" s="15" t="n"/>
      <c r="D983" s="15" t="n"/>
      <c r="E983" s="15" t="n"/>
      <c r="F983" s="15" t="n"/>
      <c r="G983" s="15" t="n"/>
      <c r="H983" s="15" t="n"/>
      <c r="I983" s="15" t="n"/>
      <c r="J983" s="15" t="n"/>
      <c r="K983" s="15" t="n"/>
    </row>
    <row r="984">
      <c r="A984" s="15" t="n"/>
      <c r="B984" s="15" t="n"/>
      <c r="C984" s="15" t="n"/>
      <c r="D984" s="15" t="n"/>
      <c r="E984" s="15" t="n"/>
      <c r="F984" s="15" t="n"/>
      <c r="G984" s="15" t="n"/>
      <c r="H984" s="15" t="n"/>
      <c r="I984" s="15" t="n"/>
      <c r="J984" s="15" t="n"/>
      <c r="K984" s="15" t="n"/>
    </row>
    <row r="985">
      <c r="A985" s="15" t="n"/>
      <c r="B985" s="15" t="n"/>
      <c r="C985" s="15" t="n"/>
      <c r="D985" s="15" t="n"/>
      <c r="E985" s="15" t="n"/>
      <c r="F985" s="15" t="n"/>
      <c r="G985" s="15" t="n"/>
      <c r="H985" s="15" t="n"/>
      <c r="I985" s="15" t="n"/>
      <c r="J985" s="15" t="n"/>
      <c r="K985" s="15" t="n"/>
    </row>
    <row r="986">
      <c r="A986" s="15" t="n"/>
      <c r="B986" s="15" t="n"/>
      <c r="C986" s="15" t="n"/>
      <c r="D986" s="15" t="n"/>
      <c r="E986" s="15" t="n"/>
      <c r="F986" s="15" t="n"/>
      <c r="G986" s="15" t="n"/>
      <c r="H986" s="15" t="n"/>
      <c r="I986" s="15" t="n"/>
      <c r="J986" s="15" t="n"/>
      <c r="K986" s="15" t="n"/>
    </row>
    <row r="987">
      <c r="A987" s="15" t="n"/>
      <c r="B987" s="15" t="n"/>
      <c r="C987" s="15" t="n"/>
      <c r="D987" s="15" t="n"/>
      <c r="E987" s="15" t="n"/>
      <c r="F987" s="15" t="n"/>
      <c r="G987" s="15" t="n"/>
      <c r="H987" s="15" t="n"/>
      <c r="I987" s="15" t="n"/>
      <c r="J987" s="15" t="n"/>
      <c r="K987" s="15" t="n"/>
    </row>
    <row r="988">
      <c r="A988" s="15" t="n"/>
      <c r="B988" s="15" t="n"/>
      <c r="C988" s="15" t="n"/>
      <c r="D988" s="15" t="n"/>
      <c r="E988" s="15" t="n"/>
      <c r="F988" s="15" t="n"/>
      <c r="G988" s="15" t="n"/>
      <c r="H988" s="15" t="n"/>
      <c r="I988" s="15" t="n"/>
      <c r="J988" s="15" t="n"/>
      <c r="K988" s="15" t="n"/>
    </row>
    <row r="989">
      <c r="A989" s="15" t="n"/>
      <c r="B989" s="15" t="n"/>
      <c r="C989" s="15" t="n"/>
      <c r="D989" s="15" t="n"/>
      <c r="E989" s="15" t="n"/>
      <c r="F989" s="15" t="n"/>
      <c r="G989" s="15" t="n"/>
      <c r="H989" s="15" t="n"/>
      <c r="I989" s="15" t="n"/>
      <c r="J989" s="15" t="n"/>
      <c r="K989" s="15" t="n"/>
    </row>
    <row r="990">
      <c r="A990" s="15" t="n"/>
      <c r="B990" s="15" t="n"/>
      <c r="C990" s="15" t="n"/>
      <c r="D990" s="15" t="n"/>
      <c r="E990" s="15" t="n"/>
      <c r="F990" s="15" t="n"/>
      <c r="G990" s="15" t="n"/>
      <c r="H990" s="15" t="n"/>
      <c r="I990" s="15" t="n"/>
      <c r="J990" s="15" t="n"/>
      <c r="K990" s="15" t="n"/>
    </row>
    <row r="991">
      <c r="A991" s="15" t="n"/>
      <c r="B991" s="15" t="n"/>
      <c r="C991" s="15" t="n"/>
      <c r="D991" s="15" t="n"/>
      <c r="E991" s="15" t="n"/>
      <c r="F991" s="15" t="n"/>
      <c r="G991" s="15" t="n"/>
      <c r="H991" s="15" t="n"/>
      <c r="I991" s="15" t="n"/>
      <c r="J991" s="15" t="n"/>
      <c r="K991" s="15" t="n"/>
    </row>
    <row r="992">
      <c r="A992" s="15" t="n"/>
      <c r="B992" s="15" t="n"/>
      <c r="C992" s="15" t="n"/>
      <c r="D992" s="15" t="n"/>
      <c r="E992" s="15" t="n"/>
      <c r="F992" s="15" t="n"/>
      <c r="G992" s="15" t="n"/>
      <c r="H992" s="15" t="n"/>
      <c r="I992" s="15" t="n"/>
      <c r="J992" s="15" t="n"/>
      <c r="K992" s="15" t="n"/>
    </row>
    <row r="993">
      <c r="A993" s="15" t="n"/>
      <c r="B993" s="15" t="n"/>
      <c r="C993" s="15" t="n"/>
      <c r="D993" s="15" t="n"/>
      <c r="E993" s="15" t="n"/>
      <c r="F993" s="15" t="n"/>
      <c r="G993" s="15" t="n"/>
      <c r="H993" s="15" t="n"/>
      <c r="I993" s="15" t="n"/>
      <c r="J993" s="15" t="n"/>
      <c r="K993" s="15" t="n"/>
    </row>
    <row r="994">
      <c r="A994" s="15" t="n"/>
      <c r="B994" s="15" t="n"/>
      <c r="C994" s="15" t="n"/>
      <c r="D994" s="15" t="n"/>
      <c r="E994" s="15" t="n"/>
      <c r="F994" s="15" t="n"/>
      <c r="G994" s="15" t="n"/>
      <c r="H994" s="15" t="n"/>
      <c r="I994" s="15" t="n"/>
      <c r="J994" s="15" t="n"/>
      <c r="K994" s="15" t="n"/>
    </row>
    <row r="995">
      <c r="A995" s="15" t="n"/>
      <c r="B995" s="15" t="n"/>
      <c r="C995" s="15" t="n"/>
      <c r="D995" s="15" t="n"/>
      <c r="E995" s="15" t="n"/>
      <c r="F995" s="15" t="n"/>
      <c r="G995" s="15" t="n"/>
      <c r="H995" s="15" t="n"/>
      <c r="I995" s="15" t="n"/>
      <c r="J995" s="15" t="n"/>
      <c r="K995" s="15" t="n"/>
    </row>
    <row r="996">
      <c r="A996" s="15" t="n"/>
      <c r="B996" s="15" t="n"/>
      <c r="C996" s="15" t="n"/>
      <c r="D996" s="15" t="n"/>
      <c r="E996" s="15" t="n"/>
      <c r="F996" s="15" t="n"/>
      <c r="G996" s="15" t="n"/>
      <c r="H996" s="15" t="n"/>
      <c r="I996" s="15" t="n"/>
      <c r="J996" s="15" t="n"/>
      <c r="K996" s="15" t="n"/>
    </row>
    <row r="997">
      <c r="A997" s="15" t="n"/>
      <c r="B997" s="15" t="n"/>
      <c r="C997" s="15" t="n"/>
      <c r="D997" s="15" t="n"/>
      <c r="E997" s="15" t="n"/>
      <c r="F997" s="15" t="n"/>
      <c r="G997" s="15" t="n"/>
      <c r="H997" s="15" t="n"/>
      <c r="I997" s="15" t="n"/>
      <c r="J997" s="15" t="n"/>
      <c r="K997" s="15" t="n"/>
    </row>
    <row r="998">
      <c r="A998" s="15" t="n"/>
      <c r="B998" s="15" t="n"/>
      <c r="C998" s="15" t="n"/>
      <c r="D998" s="15" t="n"/>
      <c r="E998" s="15" t="n"/>
      <c r="F998" s="15" t="n"/>
      <c r="G998" s="15" t="n"/>
      <c r="H998" s="15" t="n"/>
      <c r="I998" s="15" t="n"/>
      <c r="J998" s="15" t="n"/>
      <c r="K998" s="15" t="n"/>
    </row>
    <row r="999">
      <c r="A999" s="15" t="n"/>
      <c r="B999" s="15" t="n"/>
      <c r="C999" s="15" t="n"/>
      <c r="D999" s="15" t="n"/>
      <c r="E999" s="15" t="n"/>
      <c r="F999" s="15" t="n"/>
      <c r="G999" s="15" t="n"/>
      <c r="H999" s="15" t="n"/>
      <c r="I999" s="15" t="n"/>
      <c r="J999" s="15" t="n"/>
      <c r="K999" s="15" t="n"/>
    </row>
    <row r="1000">
      <c r="A1000" s="15" t="n"/>
      <c r="B1000" s="15" t="n"/>
      <c r="C1000" s="15" t="n"/>
      <c r="D1000" s="15" t="n"/>
      <c r="E1000" s="15" t="n"/>
      <c r="F1000" s="15" t="n"/>
      <c r="G1000" s="15" t="n"/>
      <c r="H1000" s="15" t="n"/>
      <c r="I1000" s="15" t="n"/>
      <c r="J1000" s="15" t="n"/>
      <c r="K1000" s="15" t="n"/>
    </row>
  </sheetData>
  <autoFilter ref="$A$1:$J$1"/>
  <hyperlinks>
    <hyperlink xmlns:r="http://schemas.openxmlformats.org/officeDocument/2006/relationships" ref="D2"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1" r:id="rId6"/>
    <hyperlink xmlns:r="http://schemas.openxmlformats.org/officeDocument/2006/relationships" ref="D12" r:id="rId7"/>
    <hyperlink xmlns:r="http://schemas.openxmlformats.org/officeDocument/2006/relationships" ref="D14" r:id="rId8"/>
    <hyperlink xmlns:r="http://schemas.openxmlformats.org/officeDocument/2006/relationships" ref="D15" r:id="rId9"/>
    <hyperlink xmlns:r="http://schemas.openxmlformats.org/officeDocument/2006/relationships" ref="D16" r:id="rId10"/>
    <hyperlink xmlns:r="http://schemas.openxmlformats.org/officeDocument/2006/relationships" ref="D17" r:id="rId11"/>
    <hyperlink xmlns:r="http://schemas.openxmlformats.org/officeDocument/2006/relationships" ref="D18" r:id="rId12"/>
    <hyperlink xmlns:r="http://schemas.openxmlformats.org/officeDocument/2006/relationships" ref="D19" r:id="rId13"/>
    <hyperlink xmlns:r="http://schemas.openxmlformats.org/officeDocument/2006/relationships" ref="D20" r:id="rId14"/>
    <hyperlink xmlns:r="http://schemas.openxmlformats.org/officeDocument/2006/relationships" ref="D25" r:id="rId15"/>
    <hyperlink xmlns:r="http://schemas.openxmlformats.org/officeDocument/2006/relationships" ref="D26" r:id="rId16"/>
    <hyperlink xmlns:r="http://schemas.openxmlformats.org/officeDocument/2006/relationships" ref="D27" r:id="rId17"/>
    <hyperlink xmlns:r="http://schemas.openxmlformats.org/officeDocument/2006/relationships" ref="D28" r:id="rId18"/>
    <hyperlink xmlns:r="http://schemas.openxmlformats.org/officeDocument/2006/relationships" ref="D29" r:id="rId19"/>
    <hyperlink xmlns:r="http://schemas.openxmlformats.org/officeDocument/2006/relationships" ref="D31" r:id="rId20"/>
    <hyperlink xmlns:r="http://schemas.openxmlformats.org/officeDocument/2006/relationships" ref="D34" r:id="rId21"/>
    <hyperlink xmlns:r="http://schemas.openxmlformats.org/officeDocument/2006/relationships" ref="D35" r:id="rId22"/>
    <hyperlink xmlns:r="http://schemas.openxmlformats.org/officeDocument/2006/relationships" ref="D36" r:id="rId23"/>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2026-03-30T16:07:04Z</dcterms:created>
  <dcterms:modified xsi:type="dcterms:W3CDTF">2026-04-14T19:58:28Z</dcterms:modified>
</cp:coreProperties>
</file>